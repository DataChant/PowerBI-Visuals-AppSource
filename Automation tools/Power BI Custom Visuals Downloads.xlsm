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datachant-my.sharepoint.com/personal/gilra_datachant_com/Documents/Dev/Github/PowerBI-Visuals-AppSource/Automation tools/"/>
    </mc:Choice>
  </mc:AlternateContent>
  <xr:revisionPtr revIDLastSave="919" documentId="8_{55E37CB6-6EDC-4611-A919-18C037E003F7}" xr6:coauthVersionLast="47" xr6:coauthVersionMax="47" xr10:uidLastSave="{1DDB08FE-B30B-46B1-9B53-3A49213AF340}"/>
  <workbookProtection workbookAlgorithmName="SHA-512" workbookHashValue="YW+RacbFNX/4E/eT+5HBHJhxsAmFA1/GoFzdK6F48Vwr/bXdVS9lzyWtKTvjyZsiedUWSeA8RQLfLWzUmSsDkA==" workbookSaltValue="Pg+Fc6INvGSyFjjZ31cSAg==" workbookSpinCount="100000" lockStructure="1"/>
  <bookViews>
    <workbookView xWindow="-96" yWindow="-96" windowWidth="19632" windowHeight="12432" xr2:uid="{4990BD76-EF4A-428D-8072-13F44356E90D}"/>
  </bookViews>
  <sheets>
    <sheet name="Start Here" sheetId="3" r:id="rId1"/>
    <sheet name="Mode" sheetId="8" state="hidden" r:id="rId2"/>
    <sheet name="Visuals Summary" sheetId="6" r:id="rId3"/>
    <sheet name="Custom Visuals" sheetId="4" state="hidden" r:id="rId4"/>
  </sheets>
  <functionGroups builtInGroupCount="19"/>
  <definedNames>
    <definedName name="ExternalData_2" localSheetId="3" hidden="1">'Custom Visuals'!$A$1:$AD$21</definedName>
    <definedName name="ExternalData_2" localSheetId="2" hidden="1">'Visuals Summary'!$A$1:$K$21</definedName>
    <definedName name="ExternalData_3" localSheetId="1" hidden="1">Mode!$A$1:$A$2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1" i="3" l="1" a="1"/>
  <c r="E21" i="3" s="1"/>
  <c r="E20" i="3" a="1"/>
  <c r="E20" i="3" s="1"/>
  <c r="D21" i="3" a="1"/>
  <c r="D21" i="3" s="1"/>
  <c r="B55" i="3"/>
  <c r="B9"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1000000}" keepAlive="1" name="Query - Custom Visuals" description="Connection to the 'Custom Visuals' query in the workbook." type="5" refreshedVersion="8" background="1">
    <dbPr connection="Provider=Microsoft.Mashup.OleDb.1;Data Source=$Workbook$;Location=&quot;Custom Visuals&quot;;Extended Properties=&quot;&quot;" command="SELECT * FROM [Custom Visuals]"/>
  </connection>
  <connection id="2" xr16:uid="{77569CFE-4E0B-40C3-BF0E-C0E5C790565F}" keepAlive="1" name="Query - Mode" description="Connection to the 'Mode' query in the workbook." type="5" refreshedVersion="8" background="1" saveData="1">
    <dbPr connection="Provider=Microsoft.Mashup.OleDb.1;Data Source=$Workbook$;Location=Mode;Extended Properties=&quot;&quot;" command="SELECT * FROM [Mode]"/>
  </connection>
  <connection id="3" xr16:uid="{F3B486F5-6594-443F-A51A-BA92FBF0D987}" keepAlive="1" name="Query - Mode(1)" description="Connection to the 'Mode' query in the workbook." type="5" refreshedVersion="8" background="1" saveData="1">
    <dbPr connection="Provider=Microsoft.Mashup.OleDb.1;Data Source=$Workbook$;Location=Mode;Extended Properties=&quot;&quot;" command="SELECT * FROM [Mode]"/>
  </connection>
  <connection id="4" xr16:uid="{4D321438-2450-4B31-894E-FA2D76EE8A9D}" keepAlive="1" name="Query - Visuals Summary" description="Connection to the 'Visuals Summary' query in the workbook." type="5" refreshedVersion="8" background="1" saveData="1">
    <dbPr connection="Provider=Microsoft.Mashup.OleDb.1;Data Source=$Workbook$;Location=&quot;Visuals Summary&quot;;Extended Properties=&quot;&quot;" command="SELECT * FROM [Visuals Summar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<sst xmlns="http://schemas.openxmlformats.org/spreadsheetml/2006/main" count="695" uniqueCount="368">
  <si>
    <t>ID</t>
  </si>
  <si>
    <t>PBIX</t>
  </si>
  <si>
    <t>Certified</t>
  </si>
  <si>
    <t>Description</t>
  </si>
  <si>
    <t>Image</t>
  </si>
  <si>
    <t>Publisher</t>
  </si>
  <si>
    <t>Average Rating</t>
  </si>
  <si>
    <t>PrivacyPolicyUrl</t>
  </si>
  <si>
    <t>Description Full</t>
  </si>
  <si>
    <t>LargeIconUri</t>
  </si>
  <si>
    <t>SupportLink</t>
  </si>
  <si>
    <t>Version</t>
  </si>
  <si>
    <t>Release Date</t>
  </si>
  <si>
    <t># of Ratings</t>
  </si>
  <si>
    <t>Link</t>
  </si>
  <si>
    <t>Name</t>
  </si>
  <si>
    <t>PBIVIZ</t>
  </si>
  <si>
    <t>Long Summary</t>
  </si>
  <si>
    <t>LegalTerms</t>
  </si>
  <si>
    <t>Categories</t>
  </si>
  <si>
    <t>Keywords</t>
  </si>
  <si>
    <t>Popularity</t>
  </si>
  <si>
    <t>HasFreePlans</t>
  </si>
  <si>
    <t>App Free Type</t>
  </si>
  <si>
    <t>Is Certified</t>
  </si>
  <si>
    <t>CSAT</t>
  </si>
  <si>
    <t>NPS</t>
  </si>
  <si>
    <t>Favorite New</t>
  </si>
  <si>
    <t>Free</t>
  </si>
  <si>
    <t>Not Certified</t>
  </si>
  <si>
    <t>https://go.microsoft.com/fwlink/?linkid=2041178</t>
  </si>
  <si>
    <t>Infographics</t>
  </si>
  <si>
    <t>pbiv-other</t>
  </si>
  <si>
    <t>External Purchase</t>
  </si>
  <si>
    <t>KPI,pbiv-comparison,PowerBICertified</t>
  </si>
  <si>
    <t>Filename</t>
  </si>
  <si>
    <t>PBIVizEdit.com</t>
  </si>
  <si>
    <t>https://pbivizedit.com/privacy</t>
  </si>
  <si>
    <t>https://pbivizedit.com/contact</t>
  </si>
  <si>
    <t>1.0.0.1</t>
  </si>
  <si>
    <t>pbiv-comparison</t>
  </si>
  <si>
    <t>Profitbase AS</t>
  </si>
  <si>
    <t>1.0.0.5</t>
  </si>
  <si>
    <t>profitbase.profitbase_riskmatrix</t>
  </si>
  <si>
    <t>Risk Matrix by Profitbase</t>
  </si>
  <si>
    <t>Know your risks</t>
  </si>
  <si>
    <t>&lt;p&gt;A risk matrix is a great way to visualize risks. Being great to look at and easy to read, it&amp;#39;s an exellent starting point to investigate your risks.&amp;nbsp;&lt;/p&gt;
&lt;p&gt;&lt;strong&gt;With Risk Matris from Profitbase, you can:&lt;/strong&gt;&lt;/p&gt;
&lt;ul&gt;
	&lt;li&gt;Change from the default 5x5 matrix to anything&amp;nbsp;from 1 to 10&lt;/li&gt;
	&lt;li&gt;Change background colors section by section&lt;/li&gt;
	&lt;li&gt;Add your own category labels&lt;/li&gt;
	&lt;li&gt;Change bubble size based on other values: e.g. potential financial loss&lt;/li&gt;
	&lt;li&gt;Use the Risk Matrix as a filter - select a bubble and see details on selected risks in other visuals&lt;/li&gt;
&lt;/ul&gt;
&lt;p&gt;&amp;nbsp;&lt;/p&gt;
&lt;p&gt;&lt;strong&gt;Licenses:&lt;/strong&gt;&lt;/p&gt;
&lt;p&gt;To use premium features, or export the visuals to file/PDF/PowerPoint, you need a license.&lt;/p&gt;
&lt;p&gt;One license per user. &lt;strong&gt;&lt;u&gt;Users &lt;/u&gt;&lt;/strong&gt;are both report viewers and report desingers.&lt;/p&gt;
&lt;p&gt;&amp;nbsp;&lt;/p&gt;
&lt;p&gt;For support, please visit:&amp;nbsp;&lt;a href="https://github.com/Profitbase/PowerBI-visuals-Risk"&gt;https://github.com/Profitbase/PowerBI-visuals-Risk&lt;/a&gt;&amp;nbsp;&lt;/p&gt;
&lt;p&gt;or contact us at: &lt;a href="mailto:pbi.visuals@profitbase.com"&gt;pbi.visuals@profitbase.com&lt;/a&gt;&lt;/p&gt;</t>
  </si>
  <si>
    <t>https://www.profitbase.com/privacy-policy-4/</t>
  </si>
  <si>
    <t>https://github.com/Profitbase/PowerBI-visuals-Risk</t>
  </si>
  <si>
    <t>https://store-images.s-microsoft.com/image/apps.39688.c244cd33-ad84-4dd2-bff6-3d2abfd1d901.9b21976a-2435-4190-8033-911a41e6e194.44774bee-d105-43dd-b8dc-0de738058ab2</t>
  </si>
  <si>
    <t>riskmatrix,risks,riskmanagement,Risk Matrix by Profitbase</t>
  </si>
  <si>
    <t>https://pbiwfeprodcustvizcdn.powerbi.com/deploymentapi/riskgraph1AA528CA24EA4627960AA1C296C1BC21.1.0.0.1.pbiviz</t>
  </si>
  <si>
    <t>https://pbiwfeprodcustvizcdn.powerbi.com/deploymentapi/riskgraph1AA528CA24EA4627960AA1C296C1BC21.1.0.0.1.pbix</t>
  </si>
  <si>
    <t>https://appsource.microsoft.com/en-us/product/power-bi-visuals/profitbase.profitbase_riskmatrix</t>
  </si>
  <si>
    <t>riskgraph1AA528CA24EA4627960AA1C296C1BC21.1.0.0.1.pbiviz</t>
  </si>
  <si>
    <t>mesclabsinc1701431830401.unavoids</t>
  </si>
  <si>
    <t>UnAvoids</t>
  </si>
  <si>
    <t>Unavoids is a powerful custom visual designed to analyze and visually represent complex datasets</t>
  </si>
  <si>
    <t>UNAVOIDS presents a novel approach for identifying and visualizing anomalies in security data by integrating advanced detection algorithms with exploratory visualization techniques. Central to its innovation is the use of a two-dimensional Neighborhood Cumulative Distribution Function (NCDF) space, a unique transformation that effectively captures and distinguishes observations based on their neighborhood characteristics, rather than merely projecting data onto a plane. This method, inspired by the cumulative distribution function of a random variable, allows for the classification of data points as either normal or anomalous based on their local surroundings. In this space, each data point is depicted as an individual curve, making it straightforward to distinguish anomalies from regular patterns. Crucially, the NCDF space retains the full integrity of the original data, making it a highly precise tool for anomaly detection. As an entirely unsupervised model that assigns a normalized score to each observation to measure its level of anomaly, UNAVOIDS has shown exceptional accuracy in detecting anomalies in both simulated and real-world datasets, surpassing other existing methods.</t>
  </si>
  <si>
    <t>MESC LABS</t>
  </si>
  <si>
    <t>https://mesclabs.com/privacy-policy.html</t>
  </si>
  <si>
    <t>https://mesclabs.com/unavoids/support.html</t>
  </si>
  <si>
    <t>https://store-images.s-microsoft.com/image/apps.12469.6046f2a8-8898-40e6-9e91-64204408ae8b.188d3a21-126f-46c8-bd77-59912fef6993.34f43602-f55e-43ec-8099-9a83e1c719c2</t>
  </si>
  <si>
    <t>unavoids,mesc labs,mesclabs</t>
  </si>
  <si>
    <t>https://appsource.microsoft.com/en-us/product/power-bi-visuals/mesclabsinc1701431830401.unavoids</t>
  </si>
  <si>
    <t>Power BI Custom Visuals Downloads</t>
  </si>
  <si>
    <t>Simple Filename</t>
  </si>
  <si>
    <t>Custom Visual</t>
  </si>
  <si>
    <t>AppSource Link</t>
  </si>
  <si>
    <t>Versioned pbiviz</t>
  </si>
  <si>
    <t>https://github.com/DataChant/PowerBI-Visuals-AppSource/blob/main/All%20Visuals/PBIVIZ%20with%20versions/riskgraph1AA528CA24EA4627960AA1C296C1BC21.1.0.0.1.pbiviz</t>
  </si>
  <si>
    <t>https://pbiwfeprodcustvizcdn.powerbi.com/deploymentapi/vaadcustomvisual749903E64ED446A1A3F82B54242EE133.1.0.0.5.pbiviz</t>
  </si>
  <si>
    <t>https://pbiwfeprodcustvizcdn.powerbi.com/deploymentapi/vaadcustomvisual749903E64ED446A1A3F82B54242EE133.1.0.0.5.pbix</t>
  </si>
  <si>
    <t>vaadcustomvisual749903E64ED446A1A3F82B54242EE133.1.0.0.5.pbiviz</t>
  </si>
  <si>
    <t>yavdaanalyticspvtltd1628223732998.dumbbellbarchartstd</t>
  </si>
  <si>
    <t>Dumbbell Bar Chart (standard)</t>
  </si>
  <si>
    <t>By using a dumbbell, you can see how your data is connected and highlighting differences.</t>
  </si>
  <si>
    <t>&lt;br&gt;
&lt;i&gt;&lt;u&gt;All of our visuals, including those not certified by Microsoft, do not access any external services or resources&lt;/u&gt;&lt;/i&gt; and this can be verified with browser (Edge, Chrome, Firefox) developer tools.
&lt;br&gt;
&lt;br&gt;
&lt;b&gt; Description&lt;/b&gt;
&lt;br&gt;
Features available with PBIVizEdit's Dumbbell Bar Chart (Standard)
&lt;ul&gt;
    &lt;li&gt; Small multiple/Trellis &lt;/li&gt;
    &lt;li&gt; Relative size of each small multiple chart based on total &lt;/li&gt;
    &lt;li&gt; Custom sorting&lt;/li&gt;
    &lt;li&gt; Conditional color formatting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href="https://pbivizedit.com/pricing?visual=dumbbell-column-chart&amp;action=buy&amp;utm_source=pbi_marketplace&amp;utm_medium=marketplace&amp;utm_campaign=marketplace_listing&amp;utm_term=dumbbell-bar-chart-std"&gt;www.pbivizedit.com/pricing&lt;/a&gt;
    &lt;/td&gt;
  &lt;/tr&gt;
&lt;/table&gt;
&lt;br&gt;
&lt;br&gt;
&lt;b&gt;Get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href="https://www.pbivizedit.com/pricing?utm_source=pbi_marketplace&amp;utm_medium=marketplace&amp;utm_campaign=marketplace_listing&amp;utm_term=dumbbell-bar-chart-std"&gt;website&lt;/a&gt;.
&lt;br&gt;&lt;br&gt;&lt;br&gt;Need to &lt;b&gt; 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href="https://www.pbivizedit.com?utm_source=pbi_marketplace&amp;utm_medium=marketplace&amp;utm_campaign=marketplace_listing&amp;utm_term=dumbbell-bar-chart-std"&gt;www.pbivizedit.com&lt;/a&gt;</t>
  </si>
  <si>
    <t>5.0.0.0</t>
  </si>
  <si>
    <t>https://store-images.s-microsoft.com/image/apps.21982.3985d8f4-5ceb-4f48-9397-d726b9a3f1ae.bc9ae15f-752b-4689-8f3f-d78144e59059.cf94a54f-b445-44be-9c4b-fcf1a31674c5</t>
  </si>
  <si>
    <t>dumbbell bar chart,dumbbell column chart,Dumbbell Bar Chart (standard)</t>
  </si>
  <si>
    <t>https://pbiwfeprodcustvizcdn.powerbi.com/deploymentapi/dumbbellbarchart42FB6F346CBCCA437DA2E705B288BA74.5.0.0.0.pbiviz</t>
  </si>
  <si>
    <t>https://pbiwfeprodcustvizcdn.powerbi.com/deploymentapi/dumbbellbarchart42FB6F346CBCCA437DA2E705B288BA74.5.0.0.0.pbix</t>
  </si>
  <si>
    <t>https://appsource.microsoft.com/en-us/product/power-bi-visuals/yavdaanalyticspvtltd1628223732998.dumbbellbarchartstd</t>
  </si>
  <si>
    <t>dumbbellbarchart42FB6F346CBCCA437DA2E705B288BA74.5.0.0.0.pbiviz</t>
  </si>
  <si>
    <t>yavdaanalyticspvtltd1628223732998.dumbbellcolumnchartstd</t>
  </si>
  <si>
    <t>Dumbbell Column Chart (standard)</t>
  </si>
  <si>
    <t>&lt;br&gt;
&lt;i&gt;&lt;u&gt;All of our visuals, including those not certified by Microsoft, do not access any external services or resources&lt;/u&gt;&lt;/i&gt; and this can be verified with browser (Edge, Chrome, Firefox) developer tools.
&lt;br&gt;
&lt;br&gt;
&lt;b&gt; Description&lt;/b&gt;
&lt;br&gt;
Features available with PBIVizEdit's Dumbbell Column Chart (Standard)
&lt;ul&gt;
    &lt;li&gt; Small multiple/Trellis &lt;/li&gt;
    &lt;li&gt; Relative size of each small multiple chart based on total &lt;/li&gt;
    &lt;li&gt; Custom sorting&lt;/li&gt;
    &lt;li&gt; Conditional color formatting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href="https://pbivizedit.com/pricing?visual=dumbbell-column-chart&amp;action=buy&amp;utm_source=pbi_marketplace&amp;utm_medium=marketplace&amp;utm_campaign=marketplace_listing&amp;utm_term=dumbbell-column-chart-std"&gt;www.pbivizedit.com/pricing&lt;/a&gt;
    &lt;/td&gt;
  &lt;/tr&gt;
&lt;/table&gt;
&lt;br&gt;
&lt;br&gt;
&lt;b&gt;Get the complete suite of visuals at price of 3&lt;/b&gt; - This visual is a part of our standard suite. If you want to purchase our complete standard suite, please visit our  &lt;a href="https://www.pbivizedit.com/pricing?utm_source=pbi_marketplace&amp;utm_medium=marketplace&amp;utm_campaign=marketplace_listing&amp;utm_term=dumbbell-column-chart-std"&gt;website&lt;/a&gt;.
&lt;br&gt;&lt;br&gt;&lt;br&gt;Need to &lt;b&gt; 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href="https://www.pbivizedit.com?utm_source=pbi_marketplace&amp;utm_medium=marketplace&amp;utm_campaign=marketplace_listing&amp;utm_term=dumbbell-column-chart-std"&gt;www.pbivizedit.com&lt;/a&gt;</t>
  </si>
  <si>
    <t>https://store-images.s-microsoft.com/image/apps.4262.eed52f18-0cef-4e50-a081-fc7da5bc40f2.b57749e1-0e76-453e-bf5d-a5a4c175bc3c.bb436e89-8f39-45bd-8322-aef704579b15</t>
  </si>
  <si>
    <t>dumbbell column chart,dumbbell bar chart,Dumbbell Column Chart (standard)</t>
  </si>
  <si>
    <t>https://pbiwfeprodcustvizcdn.powerbi.com/deploymentapi/dumbbellcolumnchartF0D6CE8D5CEEC89770B757921389A469.5.0.0.0.pbiviz</t>
  </si>
  <si>
    <t>https://pbiwfeprodcustvizcdn.powerbi.com/deploymentapi/dumbbellcolumnchartF0D6CE8D5CEEC89770B757921389A469.5.0.0.0.pbix</t>
  </si>
  <si>
    <t>https://appsource.microsoft.com/en-us/product/power-bi-visuals/yavdaanalyticspvtltd1628223732998.dumbbellcolumnchartstd</t>
  </si>
  <si>
    <t>dumbbellcolumnchartF0D6CE8D5CEEC89770B757921389A469.5.0.0.0.pbiviz</t>
  </si>
  <si>
    <t>https://github.com/DataChant/PowerBI-Visuals-AppSource/blob/main/All%20Visuals/PBIVIZ%20with%20versions/vaadcustomvisual749903E64ED446A1A3F82B54242EE133.1.0.0.5.pbiviz</t>
  </si>
  <si>
    <t>https://github.com/DataChant/PowerBI-Visuals-AppSource/blob/main/All%20Visuals/PBIVIZ%20with%20versions/dumbbellbarchart42FB6F346CBCCA437DA2E705B288BA74.5.0.0.0.pbiviz</t>
  </si>
  <si>
    <t>https://github.com/DataChant/PowerBI-Visuals-AppSource/blob/main/All%20Visuals/PBIVIZ%20with%20versions/dumbbellcolumnchartF0D6CE8D5CEEC89770B757921389A469.5.0.0.0.pbiviz</t>
  </si>
  <si>
    <t>To download all Power BI Custom Visuals from Microsoft AppSource (including sample PBIX files and visual thumbnails) follow the instructions below:</t>
  </si>
  <si>
    <t xml:space="preserve">1- Save this workbook in a local folder and open, and open it using Excel. This tool downloads the visuals and their related artifacts in the same folder you stored the open the workbook. </t>
  </si>
  <si>
    <r>
      <t xml:space="preserve">2- Subscribe in the link below to activate </t>
    </r>
    <r>
      <rPr>
        <b/>
        <sz val="11"/>
        <color theme="1"/>
        <rFont val="Calibri"/>
        <family val="2"/>
        <scheme val="minor"/>
      </rPr>
      <t>All Visuals Mode</t>
    </r>
    <r>
      <rPr>
        <sz val="11"/>
        <color theme="1"/>
        <rFont val="Calibri"/>
        <family val="2"/>
        <scheme val="minor"/>
      </rPr>
      <t xml:space="preserve"> that will allow you to download all visuals.  You can skip this step to stay in Free Mode to download only the 20 most recent visuals.</t>
    </r>
  </si>
  <si>
    <r>
      <t xml:space="preserve">4- In Data tab, click </t>
    </r>
    <r>
      <rPr>
        <b/>
        <sz val="11"/>
        <color theme="1"/>
        <rFont val="Calibri"/>
        <family val="2"/>
        <scheme val="minor"/>
      </rPr>
      <t>Refresh All</t>
    </r>
    <r>
      <rPr>
        <sz val="11"/>
        <color theme="1"/>
        <rFont val="Calibri"/>
        <family val="2"/>
        <scheme val="minor"/>
      </rPr>
      <t>, or enter Ctrl + Alt + F5. Wait until the refresh is complete.</t>
    </r>
  </si>
  <si>
    <r>
      <t xml:space="preserve">5- In </t>
    </r>
    <r>
      <rPr>
        <b/>
        <sz val="11"/>
        <color theme="1"/>
        <rFont val="Calibri"/>
        <family val="2"/>
        <scheme val="minor"/>
      </rPr>
      <t>Visuals Summary</t>
    </r>
    <r>
      <rPr>
        <sz val="11"/>
        <color theme="1"/>
        <rFont val="Calibri"/>
        <family val="2"/>
        <scheme val="minor"/>
      </rPr>
      <t xml:space="preserve"> sheet, you can find the refresh results with a summary of the Power BI visuals.</t>
    </r>
  </si>
  <si>
    <r>
      <t xml:space="preserve">6- Click the </t>
    </r>
    <r>
      <rPr>
        <b/>
        <sz val="11"/>
        <color theme="1"/>
        <rFont val="Calibri"/>
        <family val="2"/>
        <scheme val="minor"/>
      </rPr>
      <t>Download</t>
    </r>
    <r>
      <rPr>
        <sz val="11"/>
        <color theme="1"/>
        <rFont val="Calibri"/>
        <family val="2"/>
        <scheme val="minor"/>
      </rPr>
      <t xml:space="preserve"> button, and wait for the download to complete. You can see the download progress in the status bar.</t>
    </r>
  </si>
  <si>
    <t>Current Mode:</t>
  </si>
  <si>
    <t>When the download completes, all the files will be stored under the same folder where you opened this workbook. You will find the following folders:</t>
  </si>
  <si>
    <r>
      <t xml:space="preserve">In </t>
    </r>
    <r>
      <rPr>
        <b/>
        <sz val="11"/>
        <color theme="1"/>
        <rFont val="Calibri"/>
        <family val="2"/>
        <scheme val="minor"/>
      </rPr>
      <t>All Visuals</t>
    </r>
    <r>
      <rPr>
        <sz val="11"/>
        <color theme="1"/>
        <rFont val="Calibri"/>
        <family val="2"/>
        <scheme val="minor"/>
      </rPr>
      <t>, you can find all the custom visuals from AppSource and their artifacts including both certified and uncertified visuals.</t>
    </r>
  </si>
  <si>
    <r>
      <t xml:space="preserve">In </t>
    </r>
    <r>
      <rPr>
        <b/>
        <sz val="11"/>
        <color theme="1"/>
        <rFont val="Calibri"/>
        <family val="2"/>
        <scheme val="minor"/>
      </rPr>
      <t>Certified</t>
    </r>
    <r>
      <rPr>
        <sz val="11"/>
        <color theme="1"/>
        <rFont val="Calibri"/>
        <family val="2"/>
        <scheme val="minor"/>
      </rPr>
      <t>, you can find all the custom visuals from AppSource that are certified by Microsoft.</t>
    </r>
  </si>
  <si>
    <r>
      <t xml:space="preserve">In </t>
    </r>
    <r>
      <rPr>
        <b/>
        <sz val="11"/>
        <color theme="1"/>
        <rFont val="Calibri"/>
        <family val="2"/>
        <scheme val="minor"/>
      </rPr>
      <t>Uncertified</t>
    </r>
    <r>
      <rPr>
        <sz val="11"/>
        <color theme="1"/>
        <rFont val="Calibri"/>
        <family val="2"/>
        <scheme val="minor"/>
      </rPr>
      <t>, you can find all the custom visuals from AppSource that are not certified by Microsoft.</t>
    </r>
  </si>
  <si>
    <r>
      <t xml:space="preserve">In </t>
    </r>
    <r>
      <rPr>
        <b/>
        <sz val="11"/>
        <color theme="1"/>
        <rFont val="Calibri"/>
        <family val="2"/>
        <scheme val="minor"/>
      </rPr>
      <t>Unlisted</t>
    </r>
    <r>
      <rPr>
        <sz val="11"/>
        <color theme="1"/>
        <rFont val="Calibri"/>
        <family val="2"/>
        <scheme val="minor"/>
      </rPr>
      <t xml:space="preserve"> folder, you will not find any visuals in the first download (Read more about this folder below).</t>
    </r>
  </si>
  <si>
    <t>In each of the folders above, you will find the following subfolders:</t>
  </si>
  <si>
    <r>
      <t xml:space="preserve">The </t>
    </r>
    <r>
      <rPr>
        <b/>
        <sz val="11"/>
        <color theme="1"/>
        <rFont val="Calibri"/>
        <family val="2"/>
        <scheme val="minor"/>
      </rPr>
      <t>Images</t>
    </r>
    <r>
      <rPr>
        <sz val="11"/>
        <color theme="1"/>
        <rFont val="Calibri"/>
        <family val="2"/>
        <scheme val="minor"/>
      </rPr>
      <t xml:space="preserve"> subfolders will include the thumbnails as PNG files (These files are a good resource to setup Power BI Organizational Visuals, if you are a Power BI admin).</t>
    </r>
  </si>
  <si>
    <r>
      <t>The</t>
    </r>
    <r>
      <rPr>
        <b/>
        <sz val="11"/>
        <color theme="1"/>
        <rFont val="Calibri"/>
        <family val="2"/>
        <scheme val="minor"/>
      </rPr>
      <t xml:space="preserve"> PBIVIZ</t>
    </r>
    <r>
      <rPr>
        <sz val="11"/>
        <color theme="1"/>
        <rFont val="Calibri"/>
        <family val="2"/>
        <scheme val="minor"/>
      </rPr>
      <t xml:space="preserve"> subfolder will include all custom visuals.</t>
    </r>
  </si>
  <si>
    <r>
      <t>The</t>
    </r>
    <r>
      <rPr>
        <b/>
        <sz val="11"/>
        <color theme="1"/>
        <rFont val="Calibri"/>
        <family val="2"/>
        <scheme val="minor"/>
      </rPr>
      <t xml:space="preserve"> PBIVIZ with versions</t>
    </r>
    <r>
      <rPr>
        <sz val="11"/>
        <color theme="1"/>
        <rFont val="Calibri"/>
        <family val="2"/>
        <scheme val="minor"/>
      </rPr>
      <t xml:space="preserve"> subfolder will include all custom visuals in a versioned format that is provided by Microsoft AppSource.</t>
    </r>
  </si>
  <si>
    <r>
      <t xml:space="preserve">The </t>
    </r>
    <r>
      <rPr>
        <b/>
        <sz val="11"/>
        <color theme="1"/>
        <rFont val="Calibri"/>
        <family val="2"/>
        <scheme val="minor"/>
      </rPr>
      <t>PBIX</t>
    </r>
    <r>
      <rPr>
        <sz val="11"/>
        <color theme="1"/>
        <rFont val="Calibri"/>
        <family val="2"/>
        <scheme val="minor"/>
      </rPr>
      <t xml:space="preserve"> subfolder will include the sample reports.</t>
    </r>
  </si>
  <si>
    <t>The tool will not download old visuals when you run it again. You can keep repeating step 4 and 6 above every time you want to get the latest snapshot of visuals from AppSource. For better clarity, here are the instructions for consecutive downloads.</t>
  </si>
  <si>
    <t>1- Open this workbook from the same folder you ran it last time.</t>
  </si>
  <si>
    <r>
      <t xml:space="preserve">2- If you didn't subscribe yet, You can do it now to activate </t>
    </r>
    <r>
      <rPr>
        <b/>
        <sz val="11"/>
        <color theme="1"/>
        <rFont val="Calibri"/>
        <family val="2"/>
        <scheme val="minor"/>
      </rPr>
      <t>All Visuals Mode</t>
    </r>
    <r>
      <rPr>
        <sz val="11"/>
        <color theme="1"/>
        <rFont val="Calibri"/>
        <family val="2"/>
        <scheme val="minor"/>
      </rPr>
      <t>.  You can skip this step and stay in Free Mode.</t>
    </r>
  </si>
  <si>
    <t>3-  If this is the first time you subscribed follow step 3 above.</t>
  </si>
  <si>
    <r>
      <t xml:space="preserve">4- In Data tab, click </t>
    </r>
    <r>
      <rPr>
        <b/>
        <sz val="11"/>
        <color theme="1"/>
        <rFont val="Calibri"/>
        <family val="2"/>
        <scheme val="minor"/>
      </rPr>
      <t>Refresh All</t>
    </r>
    <r>
      <rPr>
        <sz val="11"/>
        <color theme="1"/>
        <rFont val="Calibri"/>
        <family val="2"/>
        <scheme val="minor"/>
      </rPr>
      <t>, or enter Ctrl + Alt + F5. Wait until the refresh is complete. Note that this download may be faster because it skips visuals that are not new.</t>
    </r>
  </si>
  <si>
    <r>
      <t xml:space="preserve">In a consecutive download, the tool will not delete any previously downloaded versioned visuals from </t>
    </r>
    <r>
      <rPr>
        <b/>
        <sz val="11"/>
        <color theme="1"/>
        <rFont val="Calibri"/>
        <family val="2"/>
        <scheme val="minor"/>
      </rPr>
      <t>PBIVIZ with versions</t>
    </r>
    <r>
      <rPr>
        <sz val="11"/>
        <color theme="1"/>
        <rFont val="Calibri"/>
        <family val="2"/>
        <scheme val="minor"/>
      </rPr>
      <t xml:space="preserve"> subfolders.</t>
    </r>
  </si>
  <si>
    <r>
      <t xml:space="preserve">The tool will overwrite all files under </t>
    </r>
    <r>
      <rPr>
        <b/>
        <sz val="11"/>
        <color theme="1"/>
        <rFont val="Calibri"/>
        <family val="2"/>
        <scheme val="minor"/>
      </rPr>
      <t>PBIVIZ</t>
    </r>
    <r>
      <rPr>
        <sz val="11"/>
        <color theme="1"/>
        <rFont val="Calibri"/>
        <family val="2"/>
        <scheme val="minor"/>
      </rPr>
      <t xml:space="preserve">, </t>
    </r>
    <r>
      <rPr>
        <b/>
        <sz val="11"/>
        <color theme="1"/>
        <rFont val="Calibri"/>
        <family val="2"/>
        <scheme val="minor"/>
      </rPr>
      <t>PBIX</t>
    </r>
    <r>
      <rPr>
        <sz val="11"/>
        <color theme="1"/>
        <rFont val="Calibri"/>
        <family val="2"/>
        <scheme val="minor"/>
      </rPr>
      <t xml:space="preserve"> and </t>
    </r>
    <r>
      <rPr>
        <b/>
        <sz val="11"/>
        <color theme="1"/>
        <rFont val="Calibri"/>
        <family val="2"/>
        <scheme val="minor"/>
      </rPr>
      <t>Images</t>
    </r>
    <r>
      <rPr>
        <sz val="11"/>
        <color theme="1"/>
        <rFont val="Calibri"/>
        <family val="2"/>
        <scheme val="minor"/>
      </rPr>
      <t xml:space="preserve"> and keep only the last versions in a simplified format of the filename.</t>
    </r>
  </si>
  <si>
    <r>
      <t xml:space="preserve">The tool will move old visuals and their artifacts from the 3 subfolders above into the </t>
    </r>
    <r>
      <rPr>
        <b/>
        <sz val="11"/>
        <color theme="1"/>
        <rFont val="Calibri"/>
        <family val="2"/>
        <scheme val="minor"/>
      </rPr>
      <t>Unlisted</t>
    </r>
    <r>
      <rPr>
        <sz val="11"/>
        <color theme="1"/>
        <rFont val="Calibri"/>
        <family val="2"/>
        <scheme val="minor"/>
      </rPr>
      <t xml:space="preserve"> folder if the visuals are no longer listed on AppSource.</t>
    </r>
  </si>
  <si>
    <t>Mode</t>
  </si>
  <si>
    <t>SCvation GmbH</t>
  </si>
  <si>
    <t>https://www.scvation.at/en/en_privacy_policy_scvation_visuals/</t>
  </si>
  <si>
    <t>https://www.scvation.at/en/en_contact/</t>
  </si>
  <si>
    <t>1.1.0.0</t>
  </si>
  <si>
    <t>1.0.0.0</t>
  </si>
  <si>
    <t>datavizboutiquegmbh1631474046585.ultimate_kpi_cards</t>
  </si>
  <si>
    <t>Ultimate KPI Card API License</t>
  </si>
  <si>
    <t>Shows a value, its variance to a reference value and its var. to 2nd or 3rd ref. value. Show Trend!</t>
  </si>
  <si>
    <t>Basic Features are free. Once advanced features are used, a watermark will appear. With the Setting “revert to default” the watermark will be removed again. To remove the Watermark, order your Trial License: license@dataviz.boutique or visit http://dataviz.boutique/. The Power BI Ultimate KPI Chart Custom Visual. The visual shows a value, its variance to a reference value and its variance to second or third reference value. in absolute and in [%] with Arrow and Color Indicator. Can be used on Dashboards or for example as Reporting Portal Entry, as well on mobile device. It shows a Measure by comparing key indicator to a target and/or to previous year. Latest Version got Multivariate Reporting also known as Small Multiples. Show Trends as Charts</t>
  </si>
  <si>
    <t>dataviz.boutique GmbH</t>
  </si>
  <si>
    <t>5.0.3.0</t>
  </si>
  <si>
    <t>https://dataviz.boutique/2017/02/12/privacystatement/</t>
  </si>
  <si>
    <t>https://dataviz.boutique/2017/02/22/kontakt/</t>
  </si>
  <si>
    <t>Infographics,KPI,PowerBICertified</t>
  </si>
  <si>
    <t>https://store-images.s-microsoft.com/image/apps.5345.d7709391-5d3a-48fe-b431-fe879a888e44.c96f06d0-8c07-4288-9b88-6647f7596c74.982ba213-18b3-4225-83fb-42d5322da7c3</t>
  </si>
  <si>
    <t>KPI,Card,Dashboard,Ultimate KPI Card API License</t>
  </si>
  <si>
    <t>https://pbiwfeprodcustvizcdn.powerbi.com/deploymentapi/kpifreeapi51D0292A0438427096AC459B59FEF2DE.5.0.3.0.pbiviz</t>
  </si>
  <si>
    <t>https://pbiwfeprodcustvizcdn.powerbi.com/deploymentapi/kpifreeapi51D0292A0438427096AC459B59FEF2DE.5.0.3.0.pbix</t>
  </si>
  <si>
    <t>https://appsource.microsoft.com/en-us/product/power-bi-visuals/datavizboutiquegmbh1631474046585.ultimate_kpi_cards</t>
  </si>
  <si>
    <t>kpifreeapi51D0292A0438427096AC459B59FEF2DE.5.0.3.0.pbiviz</t>
  </si>
  <si>
    <t>1.0.0.3</t>
  </si>
  <si>
    <t>pbiv-comparison,pbiv-other</t>
  </si>
  <si>
    <t>Time,pbiv-comparison</t>
  </si>
  <si>
    <t>Managility</t>
  </si>
  <si>
    <t>pbiv-comparison,Time,PowerBICertified</t>
  </si>
  <si>
    <t>2.1.1.0</t>
  </si>
  <si>
    <t>Maps,Infographics</t>
  </si>
  <si>
    <t>TRUVIZ INC</t>
  </si>
  <si>
    <t>1.0.0.7</t>
  </si>
  <si>
    <t>https://powerviz.ai/privacy-policy/</t>
  </si>
  <si>
    <t>A powerful visual to compare two sets of data with a dual-axis scatter plot</t>
  </si>
  <si>
    <t>datavizboutiquegmbh1631474046585.ultimate_waterfall_api</t>
  </si>
  <si>
    <t>Ultimate Waterfall (API)</t>
  </si>
  <si>
    <t>Start Value, Chart Orientation, Small Multiples, Sub Totals, Deviation, IBCS (R) Table</t>
  </si>
  <si>
    <t>To remove the Watermark, order your Trial License: license@dataviz.boutique or visit https://dataviz.boutique/.The Ultimate Waterfall Chart supports horizontal and vertical Chart Orientation and many more features. Custom Colors are possible for Contribution, Sub Totals, Totals, Start Value (Paid Version Only) and Deviation Calculation. More Details, new Versions and other Charts which follow somehow the IBCS (R) - Standard can be found always here: https://dataviz.boutique/2018/12/19/the-financial-visuals-reference-management-reporting-in-power-bi/
The Ultimate Waterfall Chart is now a certified Custom Visual, so Export to PowerPoint or subscription to report pages is now possible.</t>
  </si>
  <si>
    <t>1.0.5.0</t>
  </si>
  <si>
    <t>https://store-images.s-microsoft.com/image/apps.31187.0ce06711-60ba-4db0-9ca0-b3f4a8676499.ed3ad621-ab30-4b89-90a9-19f9f2aca9d4.44c5404e-5e44-4ac0-a153-4167f1d54409</t>
  </si>
  <si>
    <t>Waterfall,brick,Ultimate Waterfall (API)</t>
  </si>
  <si>
    <t>https://pbiwfeprodcustvizcdn.powerbi.com/deploymentapi/Waterfall2023Pbi552BC2DB21894DA5B40D0FE0FE33D590.1.0.5.0.pbiviz</t>
  </si>
  <si>
    <t>https://pbiwfeprodcustvizcdn.powerbi.com/deploymentapi/Waterfall2023Pbi552BC2DB21894DA5B40D0FE0FE33D590.1.0.5.0.pbix</t>
  </si>
  <si>
    <t>https://appsource.microsoft.com/en-us/product/power-bi-visuals/datavizboutiquegmbh1631474046585.ultimate_waterfall_api</t>
  </si>
  <si>
    <t>Waterfall2023Pbi552BC2DB21894DA5B40D0FE0FE33D590.1.0.5.0.pbiviz</t>
  </si>
  <si>
    <t>pbiv-comparison,pbiv-distribution</t>
  </si>
  <si>
    <t>managility.test-acterystableedit-beta</t>
  </si>
  <si>
    <t>acterystableedit-ad</t>
  </si>
  <si>
    <t>Acterys Table Edit Visual with AAD Support</t>
  </si>
  <si>
    <t>Most comprehensive option for editing (add, edit, delete) and master data management for all sources supported in Acterys including Microsoft SQL Server and others.
Features:
•	Editing of any table that is supported by Acterys (Microsoft SQL Server, Azure SQL, Synapse, Snowflake, SharePoint, etc.)
•	Bulk edit of records based on filter criteria
•	Search functions
•	Image display and editing
•	Support for drill through and custom tool tips
•	Grouping of records
•	Validation of data and selection from lists e.g., linked lists, date-picker, tick boxes, data type validation, custom icon sets etc.
&lt;b&gt; IMPORTANT &lt;/b&gt;: To use write back and planning features with the Acterys Power BI Table Edit Visual, start a free trial at: &lt;a href="https://acterys.com/start-your-trial/" /"&gt;Acterys Power BI Visual Trial&lt;/a&gt;
&lt;p&gt;
&lt;b&gt;Visual Setup&lt;/b&gt;
Configure the database that you want to use in the API section. Click on the "+" to add a new record or on "edit" to change/write-back to records when you are finished with your changes click "Save" and they will be written back to the Azure/Microsoft SQL database configured in the Acterys Modeller. Bulk record edits are possible with the bulk edit button at the top. Various table formatting options are available in the "Format" section.</t>
  </si>
  <si>
    <t>https://app.acterys.com/Home/PrivacyPolicy</t>
  </si>
  <si>
    <t>https://knowledge.acterys.com/kb-tickets/new</t>
  </si>
  <si>
    <t>https://store-images.s-microsoft.com/image/apps.1806.d3c34cd3-e135-4e10-820e-c5be17e20c29.b77054c8-4ad2-49ca-be0c-abda1765ff2d.7b7068de-da51-44e6-93bd-caaa4016691f</t>
  </si>
  <si>
    <t>Edit Table,write back,planning,acterystableedit-ad</t>
  </si>
  <si>
    <t>https://pbiwfeprodcustvizcdn.powerbi.com/deploymentapi/aPDimEditorTestPilot.1.0.0.5.pbiviz</t>
  </si>
  <si>
    <t>https://pbiwfeprodcustvizcdn.powerbi.com/deploymentapi/aPDimEditorTestPilot.1.0.0.5.pbix</t>
  </si>
  <si>
    <t>https://appsource.microsoft.com/en-us/product/power-bi-visuals/managility.test-acterystableedit-beta</t>
  </si>
  <si>
    <t>aPDimEditorTestPilot.1.0.0.5.pbiviz</t>
  </si>
  <si>
    <t>1.0.0.2</t>
  </si>
  <si>
    <t>MAREK PILCZUK</t>
  </si>
  <si>
    <t>marekpilczuk1656141303458.change_chart</t>
  </si>
  <si>
    <t>Change Chart</t>
  </si>
  <si>
    <t>Change Chart - capturing data transitions with clarity through intuitive arrow-based visuals.</t>
  </si>
  <si>
    <t>The Change Chart takes data comparison to the next level, showcasing fluctuations with intuitive horizontal arrows for each category. Instead of juggling multiple bars or overlapping elements, the Change Chart employs arrow lengths and directions to depict growth, decline, or steadiness. This distinct design makes changes immediately evident, ensuring that viewers can grasp the essence of the data at a glance. The Change Chart stands out in business analytics and financial reporting. It is ideal for those who need to illustrate variations or progress. If clarity and immediate comprehension are your goals, the Change Chart provides an elegant solution to represent your data's evolving story.</t>
  </si>
  <si>
    <t>1.0.5.1</t>
  </si>
  <si>
    <t>https://www.datavizartisan.com/privacy</t>
  </si>
  <si>
    <t>https://www.datavizartisan.com/support</t>
  </si>
  <si>
    <t>https://store-images.s-microsoft.com/image/apps.1420.55bf785f-1c7f-4969-8d18-63389f2235e4.661d6387-ffde-4c5f-8cc5-6c5e487fc700.15ab38a5-8e21-4f87-b59e-c4940e5e10b1</t>
  </si>
  <si>
    <t>change,kpi,progress,Change Chart</t>
  </si>
  <si>
    <t>https://pbiwfeprodcustvizcdn.powerbi.com/deploymentapi/changeChart63B1E8C33CBE4BC6913014096224EE2C.1.0.5.1.pbiviz</t>
  </si>
  <si>
    <t>https://pbiwfeprodcustvizcdn.powerbi.com/deploymentapi/changeChart63B1E8C33CBE4BC6913014096224EE2C.1.0.5.1.pbix</t>
  </si>
  <si>
    <t>https://appsource.microsoft.com/en-us/product/power-bi-visuals/marekpilczuk1656141303458.change_chart</t>
  </si>
  <si>
    <t>changeChart63B1E8C33CBE4BC6913014096224EE2C.1.0.5.1.pbiviz</t>
  </si>
  <si>
    <t>Plot the distribution with bin size based on your need</t>
  </si>
  <si>
    <t>pbiv-distribution</t>
  </si>
  <si>
    <t>https://powerviz.ai/contact-us</t>
  </si>
  <si>
    <t>ilionx.ilionx_zorgcontrol_kpigauge</t>
  </si>
  <si>
    <t>ilionx ZorgControl KPI Gauge</t>
  </si>
  <si>
    <t>Een KPI Gauge die het resultaat, het doel en de afwijking tussen die twee aangeeft.</t>
  </si>
  <si>
    <t>Deze Key Performance Indicator (KPI) heeft als hoofddoel om een performance waarde te vergelijken met een vooraf gedefinieerd doel, norm of begrote waarde. De werkelijke waarde en de beoogde waarde worden respectievelijk in het groot en in het klein weergegeven in de KPI. De gauge heeft als doel om het verschil tussen de werkelijke waarde en de beoogde waarde weer te geven. In het geval van een begroting wordt op de gauge het procentuele verschil tussen de werkelijk waarde en de beoogde waarde weergegeven. In het geval van een doel of norm worden de waarden op een absolute schaal weergegeven.
Iedere gebruiker die inzicht wil krijgen in de voortgang van een tijdlijn zal baat hebben bij deze KPI. De KPI is geschikt voor zowel financiële als zorg overzichten.
Door het definiëren van een tabel kan de visual automatisch selecteren of de gegevens een begroting, doel of norm betreffen. Daarmee kan ook een absolute of relatieve schaal gekozen worden. Tevens is het mogelijk om in te stellen of hoge waarden goed of slecht zijn en wat het minimum en maximum van de gauge is. Zo kan iedere gebruiker de KPI naar wens configureren.</t>
  </si>
  <si>
    <t>ilionx</t>
  </si>
  <si>
    <t>2.2.2.0</t>
  </si>
  <si>
    <t>https://www.ilionx.com/privacy-statement-zorgcontrol-visual/</t>
  </si>
  <si>
    <t>https://www.ilionx.com/contact/</t>
  </si>
  <si>
    <t>https://store-images.s-microsoft.com/image/apps.31564.0320e3d2-7318-4953-a6ca-61a4a8ec401f.4c8eac7a-70dd-413c-a11f-f1d7721df62a.6b9d0ce2-8a7c-425b-a216-c63b9812be7a</t>
  </si>
  <si>
    <t>KPI,Gauge,Vergelijking,ilionx ZorgControl KPI Gauge</t>
  </si>
  <si>
    <t>https://pbiwfeprodcustvizcdn.powerbi.com/deploymentapi/kpigaugeE1C1F2D818584821B802A6B2EE9891B6.2.2.2.0.pbiviz</t>
  </si>
  <si>
    <t>https://pbiwfeprodcustvizcdn.powerbi.com/deploymentapi/kpigaugeE1C1F2D818584821B802A6B2EE9891B6.2.2.2.0.pbix</t>
  </si>
  <si>
    <t>https://appsource.microsoft.com/en-us/product/power-bi-visuals/ilionx.ilionx_zorgcontrol_kpigauge</t>
  </si>
  <si>
    <t>kpigaugeE1C1F2D818584821B802A6B2EE9891B6.2.2.2.0.pbiviz</t>
  </si>
  <si>
    <t>foxolabsopcpvtltd1698255416379.tabulator-custom-visual</t>
  </si>
  <si>
    <t>Tabulator for PowerBI</t>
  </si>
  <si>
    <t>The Tabulator  PowerBI Visual is a powerful tool to enhance your reports</t>
  </si>
  <si>
    <t xml:space="preserve">
The Tabulator Custom Visual offers a comprehensive set of tools for creating interactive and customizable tables within your Power BI reports. This versatile visual tool allows you to import and bind data from your Power BI dataset, ensuring that your tables remain up-to-date as your data changes. You have the flexibility to define columns with various data types, titles, and formatting options, and the ability to group data based on specific criteria, providing users with a structured view of the information. Data sorting and filtering options enhance data exploration, and data pagination improves navigation and performance with large datasets. You can apply custom formatting to cell content, implement conditional formatting to highlight important data, and allow users to resize columns for better readability. Row selection and row click events provide further user interaction, and you can even create custom cell editors for in-place data editing. Tooltips offer additional information when users hover over cells, while styling and themes allow you to match the table's appearance to your report's aesthetics. The Tabulator Custom Visual supports localization to cater to diverse audiences and enables data export to various formats. It also offers data validation, interactivity features like row deletion and reordering, and the ability to utilize custom JavaScript functions and callbacks for advanced interactions. With these features, you can create dynamic and interactive tables tailored to your specific data visualization needs in Power BI.</t>
  </si>
  <si>
    <t>foxolabs</t>
  </si>
  <si>
    <t>https://github.com/foxo-labs/Tabulator-PowerBI-Visual/blob/main/Privacy%20Policy.md</t>
  </si>
  <si>
    <t>https://github.com/foxo-labs/Tabulator-PowerBI-Visual/blob/main/README.md</t>
  </si>
  <si>
    <t>https://store-images.s-microsoft.com/image/apps.36271.cd2810e7-11ba-4ffc-bd13-47f3b8fbda9a.e2b54615-19bb-4056-b601-d3b1a48f2cac.a19bb57e-9e97-4832-985b-2acf6e646897</t>
  </si>
  <si>
    <t>Tabulator,Custom Styled Table,HTML Table,Tabulator for PowerBI</t>
  </si>
  <si>
    <t>https://pbiwfeprodcustvizcdn.powerbi.com/deploymentapi/tabulatorCustomVisual9E23E5BE3C3F45178EF73EA2FDFCDE97.1.0.0.3.pbiviz</t>
  </si>
  <si>
    <t>https://pbiwfeprodcustvizcdn.powerbi.com/deploymentapi/tabulatorCustomVisual9E23E5BE3C3F45178EF73EA2FDFCDE97.1.0.0.3.pbix</t>
  </si>
  <si>
    <t>https://appsource.microsoft.com/en-us/product/power-bi-visuals/foxolabsopcpvtltd1698255416379.tabulator-custom-visual</t>
  </si>
  <si>
    <t>tabulatorCustomVisual9E23E5BE3C3F45178EF73EA2FDFCDE97.1.0.0.3.pbiviz</t>
  </si>
  <si>
    <t>mylocsinc1648311649136.tcard</t>
  </si>
  <si>
    <t>Multi-pane Card</t>
  </si>
  <si>
    <t>A collapsible multi-pane card visual</t>
  </si>
  <si>
    <t>Multi-pane Card can be used to group and show data in multiple collapsible panes in Power BI reports.  
It is an alternative to multi-row card visual, but it can combine columns in a few groups and put each group data in each pane.
It is suitable to show data in detail with reduced number of report pages.
Basic functions are free to use. When the function need additional purchase, a upgrade icon will be shown on the top right corner.&lt;br /&gt;&lt;br /&gt;
Main features Include:&lt;br /&gt;
&lt;ul&gt;
&lt;li&gt;The layout between column name and values can be displayed in vertical or horizontal form.&lt;/li&gt;
&lt;li&gt;Data can be sorted by a specified column.&lt;/li&gt;
&lt;li&gt;Numbers can be converted to a human readable string.&lt;/li&gt;
&lt;li&gt;Pane titles can be customized in font, size, color and text.&lt;/li&gt;
&lt;li&gt;Callout values can be customized in font, size and color.&lt;/li&gt;
&lt;li&gt;Category labels can be customized in font, size and color.&lt;/li&gt;
&lt;li&gt;The visual can be published to Power BI online or report server on premise as needed.&lt;/li&gt;
&lt;/ul&gt;</t>
  </si>
  <si>
    <t>Mylocs Inc</t>
  </si>
  <si>
    <t>https://www.mylocs.ca/privacy.html#multi-pane-card</t>
  </si>
  <si>
    <t>https://www.mylocs.ca/tutorials.html#multi-pane-card</t>
  </si>
  <si>
    <t>Infographics,KPI</t>
  </si>
  <si>
    <t>https://store-images.s-microsoft.com/image/apps.20581.877232ad-03eb-4502-a535-9eec8e9996c3.8abb6274-91f9-45fe-989e-385f3a213275.85df68a9-6221-4303-b718-32b2b73d1b76</t>
  </si>
  <si>
    <t>Card,Multi-pane,Multi-pane Card</t>
  </si>
  <si>
    <t>https://pbiwfeprodcustvizcdn.powerbi.com/deploymentapi/tCardA89FF4DFB8224D269ECAE6467FD02019.1.1.0.0.pbiviz</t>
  </si>
  <si>
    <t>https://pbiwfeprodcustvizcdn.powerbi.com/deploymentapi/tCardA89FF4DFB8224D269ECAE6467FD02019.1.1.0.0.pbix</t>
  </si>
  <si>
    <t>https://appsource.microsoft.com/en-us/product/power-bi-visuals/mylocsinc1648311649136.tcard</t>
  </si>
  <si>
    <t>tCardA89FF4DFB8224D269ECAE6467FD02019.1.1.0.0.pbiviz</t>
  </si>
  <si>
    <t>kuchenbaeckerit1699132887548.mta</t>
  </si>
  <si>
    <t>Milestone Trend Analysis (MTA)</t>
  </si>
  <si>
    <t>Presents a clear visual progress of past and future project milestones or tasks</t>
  </si>
  <si>
    <t>Milestone Trend Analysis is a sophisticated data-driven tool designed to provide a comprehensive view of historical and future project milestones. It offers a visual representation of project progress, enabling stakeholders to assess performance trends and anticipate potential deviations from the planned timeline. Through graphical presentations and data analytics, this tool empowers decision-makers with valuable insights into the trajectory of a project, allowing them to make informed choices and adjustments as needed. The Milestone Trend Analysis primarily caters to project managers, business executives, and team leaders responsible for overseeing complex projects.&lt;br&gt;&lt;br&gt;
Key features of this visual:&lt;br&gt;
✅ zooming in and out via the mouse wheel or via a pinch gesture&lt;br&gt;
✅ panning across the chart via the mouse or with a finger&lt;br&gt;
✅ unique predefined color for each task or milestone&lt;br&gt;
✅ hovering over data points for detailed information&lt;br&gt;
✅ optional chart legend&lt;br&gt;&lt;br&gt;
Further features are on the horizon, stay tuned!&lt;br&gt;&lt;br&gt;
Support:&lt;br&gt;
❓ Do you have any questions or require assistance? Don't hesitate to reach out via email at support@kuchenbaecker.it</t>
  </si>
  <si>
    <t>Kuchenbaecker.IT</t>
  </si>
  <si>
    <t>https://github.com/KuchenbaeckerIT/powerbiMTA/blob/main/Privacy%20Policy.md</t>
  </si>
  <si>
    <t>https://github.com/KuchenbaeckerIT/powerbiMTA/blob/main/Readme.md</t>
  </si>
  <si>
    <t>https://store-images.s-microsoft.com/image/apps.3408.3725a480-de7a-4aba-9954-24c5cfa4bf02.577bca78-9a76-4bde-8e39-6fe92e55b6a2.51eb71c4-5a9a-436c-be33-af0163f8e546</t>
  </si>
  <si>
    <t>MTA,Milestone,Project,Milestone Trend Analysis (MTA)</t>
  </si>
  <si>
    <t>https://pbiwfeprodcustvizcdn.powerbi.com/deploymentapi/powerbiMTA032303747171485AA7602E8612CD6B31.1.0.0.0.pbiviz</t>
  </si>
  <si>
    <t>https://pbiwfeprodcustvizcdn.powerbi.com/deploymentapi/powerbiMTA032303747171485AA7602E8612CD6B31.1.0.0.0.pbix</t>
  </si>
  <si>
    <t>https://appsource.microsoft.com/en-us/product/power-bi-visuals/kuchenbaeckerit1699132887548.mta</t>
  </si>
  <si>
    <t>powerbiMTA032303747171485AA7602E8612CD6B31.1.0.0.0.pbiviz</t>
  </si>
  <si>
    <t>truvizinc1674781244292.horizon-chart-by-powerviz</t>
  </si>
  <si>
    <t>Horizon Chart by Powerviz</t>
  </si>
  <si>
    <t>Visualize time series data with layered area chart stacked vertically to compare multiple categories</t>
  </si>
  <si>
    <t>&lt;p&gt;&lt;strong&gt;Identify trends over a timeframe, gain valuable insights, and Visualize patterns across categories with the Powerviz Horizon chart.&lt;/strong&gt;&lt;/p&gt;
&lt;p&gt;The Powerviz Horizon Chart is an advanced visual, used to display time-series data, making it easier to identify trends, anomalies, and patterns. It displays stacked data layers, allowing users to compare multiple categories while maintaining data clarity. Horizon Charts are particularly useful to monitor and analyze complex data over time, making this a valuable visual for data analysis and decision-making.&lt;/p&gt;
&lt;p&gt;Check out the live demo &lt;strong&gt;&lt;a href="https://app.powerbi.com/view?r=eyJrIjoiNTViNTRmMzQtYzIzYi00NDlkLWE4ZWQtMjZmYjM2Mzk3YzZiIiwidCI6ImNhODc1ZjVhLTcwNmMtNDFmNS04YTczLWNlMTQ0ZjMxMDhlMyIsImMiOjF9"&gt;here&lt;/a&gt;&lt;/strong&gt;.&lt;/p&gt;
&lt;p&gt;To access all the advanced settings features, click the gear "⚙️" icon in the top-right corner.&lt;/p&gt;
&lt;p&gt;&lt;strong&gt;Key Feature Highlights:&lt;/strong&gt;&lt;/p&gt;
&lt;ul&gt;
&lt;li&gt;&lt;strong&gt;Horizon Options&lt;/strong&gt; - Select the curvature of the chart from Natural, Linear, Step and change the scaling size.&lt;/li&gt;
&lt;li&gt;&lt;strong&gt;Layers&lt;/strong&gt; - Add layers separated by similar range or custom range with option to display Positive and negative values together or separately on top.&lt;/li&gt;
&lt;li&gt;&lt;strong&gt;Colors&lt;/strong&gt; - Apply colors by layers, category, or condition, choose from 30+ color palettes along with FX rules.&lt;/li&gt;
&lt;li&gt;&lt;strong&gt;Reference Lines&lt;/strong&gt; - Add lines and labels across X-axis to highlight patterns.&lt;/li&gt;
&lt;li&gt;&lt;strong&gt;Ranking&lt;/strong&gt; - Filter out Top/Bottom N by value or peaks within data. Show remaining values as &amp;ldquo;Others&amp;rdquo;.&lt;/li&gt;
&lt;li&gt;&lt;strong&gt;Fill Patterns&lt;/strong&gt; - Apply patterns by picking from a wide range of options or add your own.&lt;/li&gt;
&lt;li&gt;&lt;strong&gt;Grid Lines&lt;/strong&gt; - Add gridlines on X and Y axis.&lt;/li&gt;
&lt;li&gt;&lt;strong&gt;Custom Tooltip&lt;/strong&gt; - Add the highest, lowest, mean, and median points in the tooltip without any additional DAX/Measure.&lt;/li&gt;
&lt;li&gt;&lt;strong&gt;Themes&lt;/strong&gt; - Easily save your designs using the JSON export/import feature, enabling seamless sharing and use across multiple Power BI reports.&lt;/li&gt;
&lt;li&gt;&lt;strong&gt;Annotation&lt;/strong&gt; - Add notes to tell better stories with the same visual, make it easier for people to collaborate and understand every detail.&lt;/li&gt;
&lt;li&gt;&lt;strong&gt;Grid View&lt;/strong&gt; - Transforms the visual into an interactive table. Use pivot mode, filter, search, and sort capabilities for quick data scanning.&lt;/li&gt;
&lt;li&gt;&lt;strong&gt;Show condition&lt;/strong&gt; - Show/hide the visual based on a condition.&lt;/li&gt;
&lt;li&gt;&lt;strong&gt;Native Features&lt;/strong&gt; - Supports native features including cross-filtering, interaction, selection, tooltip, bookmark, and context menu.&lt;/li&gt;
&lt;/ul&gt;
&lt;p&gt;&lt;strong&gt;Business Use Cases:&lt;/strong&gt;&lt;/p&gt;
&lt;ol&gt;
&lt;li&gt;&lt;strong&gt;Time-Series Data Comparison:&lt;/strong&gt; Horizon Charts are used to compare time-series data, making it easier to identify trends and patterns over time, irrespective of the domain.&lt;/li&gt;
&lt;li&gt;&lt;strong&gt;Anomaly Detection:&lt;/strong&gt; Helps to detect unusual or unexpected data points, which can be critical in various fields, from finance to healthcare, to identify issues or opportunities.&lt;/li&gt;
&lt;li&gt;&lt;strong&gt;Environmental Monitoring:&lt;/strong&gt; Environmentalists use Horizon Charts to track changes in environmental variables, like temperature or pollution levels, over time for conservation and analysis.&lt;/li&gt;
&lt;li&gt;&lt;strong&gt;Predictive Analysis:&lt;/strong&gt; Data scientists and analysts use this visual to visualize data for predictive analysis, helping to forecast future trends and make data-informed decisions.&lt;/li&gt;
&lt;li&gt;&lt;strong&gt;Consumer Behavior Analysis:&lt;/strong&gt; Horizon Charts enable marketers to observe and understand consumer behavior over time. It allows them to track purchase patterns, customer preferences, or product demand across different demographics or geographical regions.&lt;/li&gt;
&lt;/ol&gt;
&lt;p&gt;&lt;strong&gt;NOTE&lt;/strong&gt;&lt;/p&gt;
&lt;p&gt;To know more about the Powerviz visuals, visit&amp;nbsp;&lt;a href="Horizon/" target="_blank"&gt;website&lt;/a&gt;&lt;/p&gt;
&lt;p&gt;Check out the &lt;a href="https://www.youtube.com/watch?v=HT4FMAGJmSs&amp;amp;ab_channel=TRUVIZ" target="_blank"&gt;feature video&lt;/a&gt; and other tutorials. Learn about the Horizon chart with detailed &lt;a href="https://docs.powerviz.ai/horizon-chart-introduction" target="_blank"&gt;documentation&lt;/a&gt;&lt;/p&gt;
&lt;p&gt;Get all the visuals from &lt;a href="https://powerviz.ai/visuals" target="_blank"&gt;Powerviz library&lt;/a&gt; at a discounted bundle price from our &lt;a href="https://powerviz.ai/pricing" target="_blank"&gt;website&lt;/a&gt;&lt;/p&gt;
&lt;p&gt;Follow Powerviz on &lt;a href="https://lnkd.in/gN_9Sa6U" target="_blank"&gt;LinkedIn&lt;/a&gt; | &lt;a href="https://www.youtube.com/@TRUVIZ" target="_blank"&gt;YouTube&lt;/a&gt; | &lt;a href="https://twitter.com/Powerviz_ai" target="_blank"&gt;Twitter&lt;/a&gt;&lt;/p&gt;
&lt;p&gt;For any Questions or need custom Quote, please write to us at: &lt;a href="mailto:support@powerviz.ai" target="_blank"&gt;support@powerviz.ai&lt;/a&gt;&amp;nbsp; or book a &lt;a href="https://calendly.com/support-powerviz/powerviz-support-call" target="_blank"&gt;Zoom call&lt;/a&gt; with us.&lt;/p&gt;</t>
  </si>
  <si>
    <t>https://store-images.s-microsoft.com/image/apps.10992.8b56ea04-27ca-45bc-9347-efdf35f9026a.eb3719ed-a98e-42ae-ae0a-abcadfb7b368.e7dd1b49-b87e-44ad-9691-de55c0373d89</t>
  </si>
  <si>
    <t>Time Series,Layered Area Chart,Small Multiples Area Chart,Horizon Chart by Powerviz</t>
  </si>
  <si>
    <t>https://pbiwfeprodcustvizcdn.powerbi.com/deploymentapi/horizonChartB188A04B57084E6DA13F3C7E341F020E.1.0.0.1.pbiviz</t>
  </si>
  <si>
    <t>https://pbiwfeprodcustvizcdn.powerbi.com/deploymentapi/horizonChartB188A04B57084E6DA13F3C7E341F020E.1.0.0.1.pbix</t>
  </si>
  <si>
    <t>https://appsource.microsoft.com/en-us/product/power-bi-visuals/truvizinc1674781244292.horizon-chart-by-powerviz</t>
  </si>
  <si>
    <t>horizonChartB188A04B57084E6DA13F3C7E341F020E.1.0.0.1.pbiviz</t>
  </si>
  <si>
    <t>d578949a-5c9c-4ad1-b4c3-fb1659e55fd5.squillion-offer-1</t>
  </si>
  <si>
    <t>Map by Squillion</t>
  </si>
  <si>
    <t>Transforming Data Visualization into a Journey with Maps that suites the theme of your report!</t>
  </si>
  <si>
    <t>Introducing Map by Squillion, a powerful map visual designed to elevate your data visualization experience. This cutting-edge map visual empowers users to effortlessly present and analyze state/province-wide data, providing a dynamic and insightful perspective on geographic insights.
Key Features:
Customizable Color and Formatting Options: Map by Squillion comes equipped with a range of coloring and formatting options, ensuring seamless integration with your report's theme. Tailor the visual appearance to align with your brand or desired aesthetics, creating visually stunning and cohesive reports.
Office-Ready Design: Crafted with professionalism in mind, this visual is perfectly suited for office environments. Its sleek design seamlessly blends with business reports, enhancing the overall appeal of your presentations.
Immersive Hovering Functionality: Experience a unique and immersive 3D-like hovering functionality that adds depth to your map visual. As you hover over data points, the visual comes to life, providing a captivating and interactive experience for users.
Interactive Click Functionality: Map by Squillion goes beyond traditional mapping visuals by incorporating interactive click functionality. Users can easily click on specific regions to filter and analyze data, unlocking deeper insights and facilitating a more granular understanding of the information presented.
Why Choose Map by Squillion?
Engaging Visual Storytelling: Transform your data into a compelling narrative with Map by Squillion's captivating visual elements.
Enhanced Decision-Making: Empower users to make informed decisions by leveraging the map's dynamic features for data exploration and analysis.
Seamless Integration: With customizable options and an office-friendly design, Map by Squillion seamlessly integrates into your reporting environment, adding both style and substance to your visualizations.
Unlock the full potential of your data with Map by Squillion—an innovative mapping solution that transcends traditional boundaries, making data exploration an engaging and insightful journey. Elevate your reports, captivate your audience, and bring your data to life with Map by Squillion.</t>
  </si>
  <si>
    <t>Squillion Technology Private Limited</t>
  </si>
  <si>
    <t>https://www.squillion.tech/privacy-policy/</t>
  </si>
  <si>
    <t>https://www.squillion.tech/contact/</t>
  </si>
  <si>
    <t>https://store-images.s-microsoft.com/image/apps.37850.59712190-8ff2-4e23-9a50-b1d8242f7beb.fb29e485-b21e-47fa-a39c-e5b9c50d166d.1844e703-58da-4d47-bd93-a0744343d7a5</t>
  </si>
  <si>
    <t>Map,Location,Infographics,Map by Squillion</t>
  </si>
  <si>
    <t>https://pbiwfeprodcustvizcdn.powerbi.com/deploymentapi/MapBySquillion.1.0.0.2.pbiviz</t>
  </si>
  <si>
    <t>https://pbiwfeprodcustvizcdn.powerbi.com/deploymentapi/MapBySquillion.1.0.0.2.pbix</t>
  </si>
  <si>
    <t>https://appsource.microsoft.com/en-us/product/power-bi-visuals/d578949a-5c9c-4ad1-b4c3-fb1659e55fd5.squillion-offer-1</t>
  </si>
  <si>
    <t>MapBySquillion.1.0.0.2.pbiviz</t>
  </si>
  <si>
    <t>yavdaanalyticspvtltd1628223732998.histogrampro</t>
  </si>
  <si>
    <t>Histogram Chart (Pro)</t>
  </si>
  <si>
    <t>&lt;br&gt;
&lt;b&gt; Description&lt;/b&gt;
&lt;br&gt;
&lt;br&gt;
FEATURES AVAILABLE
&lt;ul&gt;
    &lt;li&gt; Bin Size Customization and Dynamic bin size  &lt;/li&gt;
    &lt;li&gt; Analytics Panel - Reference line and Reference bands  &lt;/li&gt;
    &lt;li&gt; Small multiple/Trellis &lt;/li&gt;
    &lt;li&gt; Weight based on different measures like average, minimum, maximum etc. &lt;/li&gt;
    &lt;li&gt; Conditional color formatting and advance sorting &lt;/li&gt;
&lt;/ul&gt;
&lt;br&gt;
Using PBIVizEdit's Histogram visual you can create variations, For example,
&lt;ul&gt;
   &lt;li&gt; Histogram by Value, Percentage or Probability &lt;/li&gt;
    &lt;li&gt; Cumulative Histogram &lt;/li&gt;
    &lt;li&gt; Stacked Histogram &lt;/li&gt;
    &lt;li&gt; Histogram with Legend/Clustered Histogram &lt;/li&gt;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href="https://pbivizedit.com/pricing?visual=histogram-pro&amp;action=buy&amp;utm_source=pbi_marketplace&amp;utm_medium=marketplace&amp;utm_campaign=marketplace_listing&amp;utm_term=histogram_pro"&gt;www.pbivizedit.com/pricing&lt;/a&gt;
    &lt;/td&gt;
  &lt;/tr&gt;
&lt;/table&gt;
&lt;br&gt;
&lt;br&gt;
&lt;b&gt; Get the complete suite of visuals at price of 3&lt;/b&gt; - This visual is not a part of our certified suite. If you want to purchase our complete certified suite, please visit our  &lt;a href="https://www.pbivizedit.com/pricing?utm_source=pbi_marketplace&amp;utm_medium=marketplace&amp;utm_campaign=marketplace_listing&amp;utm_term=histogram_pro"&gt;website&lt;/a&gt;.
&lt;br&gt;&lt;br&gt;&lt;br&gt;Need to &lt;b&gt;modify this visual further? &lt;/b&gt; - With our GUI click-and-select editor, you can further customize this visual at our website in 15 mins. Or engage us to create a trial visual for free.
&lt;br&gt;
&lt;br&gt;
&lt;br&gt;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href="https://www.pbivizedit.com?utm_source=pbi_marketplace&amp;utm_medium=marketplace&amp;utm_campaign=marketplace_listing&amp;utm_term=histogram_pro"&gt;www.pbivizedit.com&lt;/a&gt;</t>
  </si>
  <si>
    <t>5.0.0.2</t>
  </si>
  <si>
    <t>https://store-images.s-microsoft.com/image/apps.14860.043a2715-28cc-4ec5-959b-ceaff15af264.0b01d7ef-2e69-42a9-a902-cb9c47f7276b.51fa249e-6e85-413b-a522-428392145e56</t>
  </si>
  <si>
    <t>Histogram Chart,frequency distribution,weighted histogram,Histogram Chart (Pro)</t>
  </si>
  <si>
    <t>https://pbiwfeprodcustvizcdn.powerbi.com/deploymentapi/histogram7D0E580F1FEB4DDA901A6D8146EA6387.5.0.0.2.pbiviz</t>
  </si>
  <si>
    <t>https://pbiwfeprodcustvizcdn.powerbi.com/deploymentapi/histogram7D0E580F1FEB4DDA901A6D8146EA6387.5.0.0.2.pbix</t>
  </si>
  <si>
    <t>https://appsource.microsoft.com/en-us/product/power-bi-visuals/yavdaanalyticspvtltd1628223732998.histogrampro</t>
  </si>
  <si>
    <t>histogram7D0E580F1FEB4DDA901A6D8146EA6387.5.0.0.2.pbiviz</t>
  </si>
  <si>
    <t>flashbi1688505129702.fantail</t>
  </si>
  <si>
    <t>flashbi fantail</t>
  </si>
  <si>
    <t>FanTail - Interactive sunburst reflecting data hierarchies, relationships and relative values.</t>
  </si>
  <si>
    <t>As the business world becomes increasingly focused on driving sales and profits, every tool that encompasses the added visualisation of displaying data plays a significant role in enhancing your presentations and reports. Ready to go into your board reports and dashboards with beautiful fonts, colors and design. Saves time, looks fabulous. The FanTail paints a full picture of the multiple layers of data among the hierarchical groups. The dynamic and enticing drill down encourages interaction and investigation of your data from all levels of leadership.
The rings in the chart are divided based on their hierarchical relationship to the parent node. Each ring can have multiple segments; each segment showing the contribution of a particular dimension in that hierarchy. Focusing on a segment in the ring gives a sense of the part to the whole relationship of this dimension with respect to its parent ring segment. The slices in a sunburst chart are colored to highlight hierarchy or category.
The more we go down the hierarchical levels (creating/plotting new levels in the chart), the more space we get. 
Great scenarios to use the FanTail
    1. Sales Data visualising as a whole the breakdown of sales (corresponding to sector width) and call success rate (corresponding to sector color) by 
     state, region and salesperson level. With the fantail you can see the best and worst regions, while still being able to see the regional and 
     salesperson contribution at a glance.
    2. Outlining the landing and navigation paths of a website
    3. Visualising file size of different modules in a software package
    4. Understanding the revenue sources of a business
    5. World population broken down into a particular continent, country, region, state, city, town
    6. Salary expenses of employees across departments in an organisation
Our FanTail features: 
     Displays hierarchical data structures.
     A space-filling visualization that uses a radial layout 
     Visualises multi-levels of your data.
     Smooth and stunning drill down with a simple click on any level 
     Consists of an inner circle surrounded by rings of deeper hierarchy levels. 
     The angle of each segment is either proportional to a value or divided equally under its parent node.
     Reflects the relationship between multiple levels of content.
     Each sector has the same value of the color column for all its children, then the corresponding color is used, 
     The data values, determining the sector width.
Why use our FanTail:
           Visually stimulates more relative thinking. 
           Very effective to showcase how one ring is broken into its contributing pieces (i.e, sequential segments).
           Connects the content of all aspects and levels into a whole, gives us chance to overlook things.
           When you want to visualize hierarchical data structures and highlight the hierarchy through concentric rings
           To identifying deeper hierarchy levels and understanding lineage.
           Easy to understand and visualize the data.
           Uses space much better than linear chart tools
           The radial orientation of the FanTail utilises space more efficiently compared to the linear (horizontal or vertical) hierarchical visualization. 
           All elements on the same level are regarded equally important, eliminating the dichotomy between the elements on the periphery and center.
           Is intuitive in nature.</t>
  </si>
  <si>
    <t>FlashBI</t>
  </si>
  <si>
    <t>https://flashbi.com.au/flashbi-privacy-policy/</t>
  </si>
  <si>
    <t>https://flashbi.com.au/visuals/</t>
  </si>
  <si>
    <t>KPI,pbiv-r-visuals</t>
  </si>
  <si>
    <t>https://store-images.s-microsoft.com/image/apps.38479.74f4085e-0e33-45c0-98e0-f8e2af11e5f7.02d16e69-8c96-47ce-9fce-064fca9cc54a.71c12d0c-d53b-4844-84fe-9d1f32c269c6</t>
  </si>
  <si>
    <t>KPI drilldown,Time saver Ready to Go Presentation Ready ,Board Presentation,flashbi fantail</t>
  </si>
  <si>
    <t>https://pbiwfeprodcustvizcdn.powerbi.com/deploymentapi/fanTail2A78A07F2F3E421E9BB61C0CD7D005C0.1.0.0.7.pbiviz</t>
  </si>
  <si>
    <t>https://pbiwfeprodcustvizcdn.powerbi.com/deploymentapi/fanTail2A78A07F2F3E421E9BB61C0CD7D005C0.1.0.0.7.pbix</t>
  </si>
  <si>
    <t>https://appsource.microsoft.com/en-us/product/power-bi-visuals/flashbi1688505129702.fantail</t>
  </si>
  <si>
    <t>fanTail2A78A07F2F3E421E9BB61C0CD7D005C0.1.0.0.7.pbiviz</t>
  </si>
  <si>
    <t>yavdaanalyticspvtltd1628223732998.dualaxisscatterchartpro</t>
  </si>
  <si>
    <t>Dual Axis Scatter Chart (Pro)</t>
  </si>
  <si>
    <t>&lt;br&gt;
&lt;b&gt; Description&lt;/b&gt;
&lt;br&gt;
&lt;br&gt;
Features available with PBIVizEdit's Dual Axis Scatter Chart (Pro)
&lt;ul&gt;
   &lt;li&gt; Small multiple/Trellis &lt;/li&gt;
   &lt;li&gt; Analytics Panel - Reference line and bands, Error bar and bands &lt;/li&gt;
   &lt;li&gt; Map Categorical data in any axes  &lt;/li&gt;
   &lt;li&gt; Scatter plot transparency   &lt;/li&gt;
   &lt;li&gt; Finer formatting for circles/shapes&lt;/li&gt;
   &lt;li&gt; Custom shapes for scatter&lt;/li&gt;
   &lt;li&gt; Custom label formatting&lt;/li&gt;
   &lt;li&gt; Small Multiple  &lt;/li&gt;
   &lt;li&gt; Custom Tooltip formatting&lt;/li&gt;
 &lt;/ul&gt;
&lt;br&gt;
&lt;b&gt;License Details&lt;/b&gt; 
&lt;br&gt;
&lt;br&gt;
&lt;table style="width:80%;#center; border-style:solid; border-width:1px; border-color: #dddddd; border-collapse:collapse;margin-left:auto; margin-right:auto;"&gt;
  &lt;tr style="border-style:solid; border-width:1px; border-color: #dddddd"&gt;
    &lt;td style="padding:15px; border-style:solid; border-width:1px; border-color: #dddddd"&gt;&lt;b&gt;Power BI Platforms&lt;/b&gt;&lt;/td&gt;
    &lt;td style="padding:15px; border-style:solid; border-width:1px; border-color: #dddddd"&gt;&lt;b&gt;Get trial/Buy&lt;/b&gt; &lt;/td&gt;
  &lt;/tr&gt;
  &lt;tr&gt;
    &lt;td style="padding:15px; border-style:solid; border-width:1px; border-color: #dddddd"&gt;
        Desktop, Web, Mobile,
        &lt;br&gt;Embed in Microsoft SharePoint
	    &lt;br&gt;Embed in Internal applications (needs per-user license)
    &lt;/td&gt;
    &lt;td style="padding:15px; border-style:solid; border-width:1px; border-color: #dddddd"&gt;Click on &lt;b&gt;Buy now&lt;/b&gt; button on this page &lt;br&gt; &lt;/td&gt;
  &lt;/tr&gt;
  &lt;tr&gt;
    &lt;td style="padding:15px; border-style:solid; border-width:1px; border-color: #dddddd"&gt;
        Report Server
        &lt;br&gt; Public Website
        &lt;br&gt; Embed in External applications
    &lt;/td&gt;
    &lt;td style="padding:15px; border-style:solid; border-width:1px; border-color: #dddddd"&gt;Visit our website &lt;a href="https://pbivizedit.com/pricing?guid=D72831A51DE23491AD08FDCCAC756C11&amp;name=Dual%20Axis%20Scatter%20Chart&amp;visual=dual-axis-scatter-pro&amp;action=buy&amp;utm_source=pbi_marketplace&amp;utm_medium=marketplace&amp;utm_campaign=marketplace_listing&amp;utm_term=dual_axis_scatter_pro"&gt;www.pbivizedit.com/pricing&lt;/a&gt;
    &lt;/td&gt;
  &lt;/tr&gt;
&lt;/table&gt;
&lt;br&gt;
&lt;br&gt;
&lt;b&gt; Get the complete suite of visuals at price of 3&lt;/b&gt; - This visual is a part of our certified suite. If you want to purchase our complete certified suite, please visit our  &lt;a href="https://www.pbivizedit.com/pricing?utm_source=pbi_marketplace&amp;utm_medium=marketplace&amp;utm_campaign=marketplace_listing&amp;utm_term=dual_axis_scatter_pro"&gt;website&lt;/a&gt;.
&lt;br&gt;&lt;br&gt;Need to &lt;b&gt;modify this visual further? &lt;/b&gt; - With our GUI click-and-select editor, you can further customize this visual at our website in 15 mins. Or engage us to create a trial visual for free.
&lt;br&gt;
&lt;br&gt;&lt;br&gt;
ABOUT US
&lt;br&gt;
&lt;br&gt;
PBIVizEdit visuals are used by 10,000+ companies globally. In addition to 40+ ready-to-use Power BI custom visuals, we also have a powerful GUI click-and-select editor to modify or create new custom visuals Or you can engage PBIVizEdit's experts to create desired Power BI visuals. To know more, visit our website at &lt;a href="https://www.pbivizedit.com?utm_source=pbi_marketplace&amp;utm_medium=marketplace&amp;utm_campaign=marketplace_listing&amp;utm_term=dual_axis_scatter_pro"&gt;www.pbivizedit.com&lt;/a&gt;</t>
  </si>
  <si>
    <t>6.1.0.1</t>
  </si>
  <si>
    <t>https://store-images.s-microsoft.com/image/apps.3459.fd27f3e6-2bc5-4835-9cb0-4b4c8c187e9f.628aefc7-f1c9-4d98-86e0-0f31c9878f49.e42b146f-5dbc-44fd-978e-b133164a5433</t>
  </si>
  <si>
    <t>dual axis scatter plot scatter transparency,scatter plot with multiple axis transparent markers in scatterplot,secondary axis for scatter plots Transparent data point on scatter plot,Dual Axis Scatter Chart (Pro)</t>
  </si>
  <si>
    <t>https://pbiwfeprodcustvizcdn.powerbi.com/deploymentapi/dualaxisscatter0A19D52AB7155101A17FA0EE71026C11.6.1.0.1.pbiviz</t>
  </si>
  <si>
    <t>https://pbiwfeprodcustvizcdn.powerbi.com/deploymentapi/dualaxisscatter0A19D52AB7155101A17FA0EE71026C11.6.1.0.1.pbix</t>
  </si>
  <si>
    <t>https://appsource.microsoft.com/en-us/product/power-bi-visuals/yavdaanalyticspvtltd1628223732998.dualaxisscatterchartpro</t>
  </si>
  <si>
    <t>dualaxisscatter0A19D52AB7155101A17FA0EE71026C11.6.1.0.1.pbiviz</t>
  </si>
  <si>
    <t>mylocsinc1648311649136.tmap</t>
  </si>
  <si>
    <t>TMap</t>
  </si>
  <si>
    <t>Create a custom visual to show the relationship between a marker layer and a polygon layer with the TMap Visual.
In the process of slicing and selection, the marker layer will be dynamically linked with the polygon layer. 
Furthermore, the marker layer can be drilled down and drilled up by a hierarchy of polygon layers or geographic names.
Most of the functions are free to use. When the function need additional purchase, a watermark "Free Trial" will be appeared on the background.&lt;br /&gt;&lt;br /&gt;
Main features Include:&lt;br /&gt;
&lt;ul&gt;
&lt;li&gt;The marker layer needs longitude and latitude for positioning, and can be adjusted by size and color.&lt;/li&gt;
&lt;li&gt;The polygon layer requires WKT (Well Known Text) format and will be validated and filter out invalid polygons.&lt;/li&gt;
&lt;li&gt;Markers can be shown as the following types: circle, square, triangle, hexagon, star, diamond.&lt;/li&gt;
&lt;li&gt;9 types of thematic map (Proportional Symbol Map, Pie Chart Map, Bar Chart Map, Donut Chart Map, Stacked Bar Chart Map, Graduated Color Map, Categorical Color Map, Filled Map and Choropleth Map) can be created by using the TMap visual.&lt;/li&gt;
&lt;li&gt;Drill down choropleth map, donut chart map, pie chart map, bar chart map and stacked bar chart map by using the polygon layers or geographic names. Demo can be seen from &lt;a href="https://www.mylocs.ca/tutorials.html#drilldown-donut-map-name"&gt;here&lt;/a&gt;.&lt;/li&gt;
&lt;li&gt;Labels can be adjusted in size, color, font family and background, and only be shown in a large scale to avoid overlapping.&lt;/li&gt;
&lt;li&gt;Legend can be added to map to explain the symbol size and color.&lt;/li&gt;
&lt;li&gt;The map can be shown without base map tiles from Internet.&lt;/li&gt;
&lt;li&gt;The visual can be published to Power BI online or report server on premise as needed.&lt;/li&gt;
&lt;/ul&gt;</t>
  </si>
  <si>
    <t>https://www.mylocs.ca/privacy.html</t>
  </si>
  <si>
    <t>https://www.mylocs.ca/contact.html</t>
  </si>
  <si>
    <t>Maps,pbiv-comparison</t>
  </si>
  <si>
    <t>https://store-images.s-microsoft.com/image/apps.26513.1410884d-bd0f-411c-8276-2288b7d3d9d8.b7756752-e505-4b32-b7b6-9e3c76c51c0f.e2764bb5-0aa1-4115-9255-00518b89a3e2</t>
  </si>
  <si>
    <t>Thematic map ,Drilldown,Polygon layer ,TMap</t>
  </si>
  <si>
    <t>https://pbiwfeprodcustvizcdn.powerbi.com/deploymentapi/tMap8E0FD0EA52A241AAB7312149B2333625.2.1.1.0.pbiviz</t>
  </si>
  <si>
    <t>https://pbiwfeprodcustvizcdn.powerbi.com/deploymentapi/tMap8E0FD0EA52A241AAB7312149B2333625.2.1.1.0.pbix</t>
  </si>
  <si>
    <t>https://appsource.microsoft.com/en-us/product/power-bi-visuals/mylocsinc1648311649136.tmap</t>
  </si>
  <si>
    <t>tMap8E0FD0EA52A241AAB7312149B2333625.2.1.1.0.pbiviz</t>
  </si>
  <si>
    <t>2bitgmbh.powerbiwriteback</t>
  </si>
  <si>
    <t>2WriteBack</t>
  </si>
  <si>
    <t>The 2WriteBack Visual allows to write back data to any database</t>
  </si>
  <si>
    <t>2BIT AG</t>
  </si>
  <si>
    <t>2.1.4.0</t>
  </si>
  <si>
    <t>https://cdn.2bitcloud.ch/2WriteBack/PrivacyPolicy_2WriteBack.pdf</t>
  </si>
  <si>
    <t>https://2bit.ch/en/kontakt/</t>
  </si>
  <si>
    <t>https://store-images.s-microsoft.com/image/apps.30670.02457b2b-52e6-4f8b-b5ac-057baeda0a3e.ca33a24c-b002-4cb7-b9de-985ec3acafd2.b984cdca-08d8-4e4e-83f9-b37414414255</t>
  </si>
  <si>
    <t>write back,data entry,2WriteBack</t>
  </si>
  <si>
    <t>https://pbiwfeprodcustvizcdn.powerbi.com/deploymentapi/TwoWriteBack25320C54F4184F8EA42E7B7D8A4A928F.2.1.4.0.pbiviz</t>
  </si>
  <si>
    <t>https://pbiwfeprodcustvizcdn.powerbi.com/deploymentapi/TwoWriteBack25320C54F4184F8EA42E7B7D8A4A928F.2.1.4.0.pbix</t>
  </si>
  <si>
    <t>https://appsource.microsoft.com/en-us/product/power-bi-visuals/2bitgmbh.powerbiwriteback</t>
  </si>
  <si>
    <t>TwoWriteBack25320C54F4184F8EA42E7B7D8A4A928F.2.1.4.0.pbiviz</t>
  </si>
  <si>
    <t>scvationgmbh1592573334878.scvation-flow-basic</t>
  </si>
  <si>
    <t>SCvation-Flow-Basic</t>
  </si>
  <si>
    <t>Flow Chart to visuzalize process data, tickets, tasks, variants with up to millisecond accuracy</t>
  </si>
  <si>
    <t>With the analysis of existing processes, inefficiencies and potential for optimization can be found in the process.
With the SCvation Flow Visual, these processes, process developments and the timing of events, actions or activities can be displayed. The events are arranged in the flow visualization according to the chronological sequence. The visualization calculates the number of runs of the cases or process instances and the average duration between the individual events and displays these as key figures in the visualization. The number of runs is also reflected in the line width of the transition.
The data in the form of event logs is required for the representation of processes and process sequences:
ID/Case/Process Instance
Event/Action/Activity
Timestamp
The visualization also interacts with other visualizations, the flow visualization can filter other visualizations. Users can make various settings for flow visualization via their own menu.
Orientation of the visualization
Formatting (Color/text/number format/…)
Documentation: https://www.scvation.com/en/en_documentation_powerbi/</t>
  </si>
  <si>
    <t>1.1.29.10</t>
  </si>
  <si>
    <t>pbiv-flow,PowerBICertified</t>
  </si>
  <si>
    <t>https://store-images.s-microsoft.com/image/apps.35554.f0c53f4d-5671-49eb-95ac-f046d301a12b.a4ecbda9-5fea-4a5d-bd00-68f667fa108d.f1bdadaf-de08-45b3-8758-28c1da58d358</t>
  </si>
  <si>
    <t>Flow,Process,Activity,SCvation-Flow-Basic</t>
  </si>
  <si>
    <t>https://pbiwfeprodcustvizcdn.powerbi.com/deploymentapi/scvationFlowBasic0A96D390481D4F8AB06B8214A21EC2F0.1.1.29.10.pbiviz</t>
  </si>
  <si>
    <t>https://pbiwfeprodcustvizcdn.powerbi.com/deploymentapi/scvationFlowBasic0A96D390481D4F8AB06B8214A21EC2F0.1.1.29.10.pbix</t>
  </si>
  <si>
    <t>https://appsource.microsoft.com/en-us/product/power-bi-visuals/scvationgmbh1592573334878.scvation-flow-basic</t>
  </si>
  <si>
    <t>scvationFlowBasic0A96D390481D4F8AB06B8214A21EC2F0.1.1.29.10.pbiviz</t>
  </si>
  <si>
    <t>https://github.com/DataChant/PowerBI-Visuals-AppSource/blob/main/All%20Visuals/PBIVIZ%20with%20versions/kpifreeapi51D0292A0438427096AC459B59FEF2DE.5.0.3.0.pbiviz</t>
  </si>
  <si>
    <t>https://github.com/DataChant/PowerBI-Visuals-AppSource/blob/main/All%20Visuals/PBIVIZ%20with%20versions/Waterfall2023Pbi552BC2DB21894DA5B40D0FE0FE33D590.1.0.5.0.pbiviz</t>
  </si>
  <si>
    <t>https://github.com/DataChant/PowerBI-Visuals-AppSource/blob/main/All%20Visuals/PBIVIZ%20with%20versions/aPDimEditorTestPilot.1.0.0.5.pbiviz</t>
  </si>
  <si>
    <t>https://github.com/DataChant/PowerBI-Visuals-AppSource/blob/main/All%20Visuals/PBIVIZ%20with%20versions/changeChart63B1E8C33CBE4BC6913014096224EE2C.1.0.5.1.pbiviz</t>
  </si>
  <si>
    <t>https://github.com/DataChant/PowerBI-Visuals-AppSource/blob/main/All%20Visuals/PBIVIZ%20with%20versions/kpigaugeE1C1F2D818584821B802A6B2EE9891B6.2.2.2.0.pbiviz</t>
  </si>
  <si>
    <t>https://github.com/DataChant/PowerBI-Visuals-AppSource/blob/main/All%20Visuals/PBIVIZ%20with%20versions/tabulatorCustomVisual9E23E5BE3C3F45178EF73EA2FDFCDE97.1.0.0.3.pbiviz</t>
  </si>
  <si>
    <t>https://github.com/DataChant/PowerBI-Visuals-AppSource/blob/main/All%20Visuals/PBIVIZ%20with%20versions/tCardA89FF4DFB8224D269ECAE6467FD02019.1.1.0.0.pbiviz</t>
  </si>
  <si>
    <t>https://github.com/DataChant/PowerBI-Visuals-AppSource/blob/main/All%20Visuals/PBIVIZ%20with%20versions/powerbiMTA032303747171485AA7602E8612CD6B31.1.0.0.0.pbiviz</t>
  </si>
  <si>
    <t>https://github.com/DataChant/PowerBI-Visuals-AppSource/blob/main/All%20Visuals/PBIVIZ%20with%20versions/horizonChartB188A04B57084E6DA13F3C7E341F020E.1.0.0.1.pbiviz</t>
  </si>
  <si>
    <t>https://github.com/DataChant/PowerBI-Visuals-AppSource/blob/main/All%20Visuals/PBIVIZ%20with%20versions/MapBySquillion.1.0.0.2.pbiviz</t>
  </si>
  <si>
    <t>https://github.com/DataChant/PowerBI-Visuals-AppSource/blob/main/All%20Visuals/PBIVIZ%20with%20versions/histogram7D0E580F1FEB4DDA901A6D8146EA6387.5.0.0.2.pbiviz</t>
  </si>
  <si>
    <t>https://github.com/DataChant/PowerBI-Visuals-AppSource/blob/main/All%20Visuals/PBIVIZ%20with%20versions/fanTail2A78A07F2F3E421E9BB61C0CD7D005C0.1.0.0.7.pbiviz</t>
  </si>
  <si>
    <t>https://github.com/DataChant/PowerBI-Visuals-AppSource/blob/main/All%20Visuals/PBIVIZ%20with%20versions/dualaxisscatter0A19D52AB7155101A17FA0EE71026C11.6.1.0.1.pbiviz</t>
  </si>
  <si>
    <t>https://github.com/DataChant/PowerBI-Visuals-AppSource/blob/main/All%20Visuals/PBIVIZ%20with%20versions/tMap8E0FD0EA52A241AAB7312149B2333625.2.1.1.0.pbiviz</t>
  </si>
  <si>
    <t>https://github.com/DataChant/PowerBI-Visuals-AppSource/blob/main/All%20Visuals/PBIVIZ%20with%20versions/TwoWriteBack25320C54F4184F8EA42E7B7D8A4A928F.2.1.4.0.pbiviz</t>
  </si>
  <si>
    <t>https://github.com/DataChant/PowerBI-Visuals-AppSource/blob/main/All%20Visuals/PBIVIZ%20with%20versions/scvationFlowBasic0A96D390481D4F8AB06B8214A21EC2F0.1.1.29.10.pbiviz</t>
  </si>
  <si>
    <t>TMap is a drilldownable thematic map visual for Power BI.</t>
  </si>
  <si>
    <t>The 2WriteBack Visual allows to write back data to any datatabase using a rest api interface.
This allows data entry direct in power bi.
In order to enable the writeback functionality a license is needed which can be bought as monthly subscription.
The license is per Power BI Tenant and has no restrictions on the number of users or reports.
Monthly fee is CHF 500.-</t>
  </si>
  <si>
    <t>License Key or Subscription Email</t>
  </si>
  <si>
    <r>
      <t xml:space="preserve">3-  In </t>
    </r>
    <r>
      <rPr>
        <b/>
        <sz val="11"/>
        <color theme="1"/>
        <rFont val="Calibri"/>
        <family val="2"/>
        <scheme val="minor"/>
      </rPr>
      <t xml:space="preserve">License Key or Subscription Email </t>
    </r>
    <r>
      <rPr>
        <sz val="11"/>
        <color theme="1"/>
        <rFont val="Calibri"/>
        <family val="2"/>
        <scheme val="minor"/>
      </rPr>
      <t xml:space="preserve">cell below, enter the licens ekey you receive or the email you used during the subscription. If you wish to stay in Free Mode, keep the value </t>
    </r>
    <r>
      <rPr>
        <b/>
        <i/>
        <sz val="11"/>
        <color theme="1"/>
        <rFont val="Calibri"/>
        <family val="2"/>
        <scheme val="minor"/>
      </rPr>
      <t>none</t>
    </r>
    <r>
      <rPr>
        <sz val="11"/>
        <color theme="1"/>
        <rFont val="Calibri"/>
        <family val="2"/>
        <scheme val="minor"/>
      </rPr>
      <t>.</t>
    </r>
  </si>
  <si>
    <t>none</t>
  </si>
  <si>
    <r>
      <t xml:space="preserve">6- Click the </t>
    </r>
    <r>
      <rPr>
        <b/>
        <sz val="11"/>
        <color theme="1"/>
        <rFont val="Calibri"/>
        <family val="2"/>
        <scheme val="minor"/>
      </rPr>
      <t>Download</t>
    </r>
    <r>
      <rPr>
        <sz val="11"/>
        <color theme="1"/>
        <rFont val="Calibri"/>
        <family val="2"/>
        <scheme val="minor"/>
      </rPr>
      <t xml:space="preserve"> button to start the download. You can see the download progress in the status bar.</t>
    </r>
  </si>
  <si>
    <r>
      <t xml:space="preserve">     If this is the first time you download all visuals in </t>
    </r>
    <r>
      <rPr>
        <b/>
        <sz val="11"/>
        <color theme="1"/>
        <rFont val="Calibri"/>
        <family val="2"/>
        <scheme val="minor"/>
      </rPr>
      <t>All Visuals</t>
    </r>
    <r>
      <rPr>
        <sz val="11"/>
        <color theme="1"/>
        <rFont val="Calibri"/>
        <family val="2"/>
        <scheme val="minor"/>
      </rPr>
      <t xml:space="preserve"> mode, it can take time to download all artifacts. Consecutive downloads will be incremental and faster.</t>
    </r>
  </si>
  <si>
    <t>Instructions for consecutive incremental downloads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</si>
</sst>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b/>
      <sz val="16"/>
      <color theme="1"/>
      <name val="Calibri"/>
      <family val="2"/>
      <scheme val="minor"/>
    </font>
    <font>
      <b/>
      <i/>
      <sz val="11"/>
      <color theme="1"/>
      <name val="Calibri"/>
      <family val="2"/>
      <scheme val="minor"/>
    </font>
    <font>
      <b/>
      <sz val="14"/>
      <color theme="1"/>
      <name val="Calibri"/>
      <family val="2"/>
      <scheme val="minor"/>
    </font>
    <font>
      <sz val="8"/>
      <name val="Calibri"/>
      <family val="2"/>
      <scheme val="minor"/>
    </font>
    <font>
      <u/>
      <sz val="11"/>
      <color theme="10"/>
      <name val="Calibri"/>
      <family val="2"/>
      <scheme val="minor"/>
    </font>
    <font>
      <sz val="11"/>
      <color rgb="FF3F3F76"/>
      <name val="Calibri"/>
      <family val="2"/>
      <scheme val="minor"/>
    </font>
  </fonts>
  <fills count="3">
    <fill>
      <patternFill patternType="none"/>
    </fill>
    <fill>
      <patternFill patternType="gray125"/>
    </fill>
    <fill>
      <patternFill patternType="solid">
        <fgColor rgb="FFFFCC99"/>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6" fillId="0" borderId="0" applyNumberFormat="0" applyFill="0" applyBorder="0" applyAlignment="0" applyProtection="0"/>
    <xf numFmtId="0" fontId="7" fillId="2" borderId="1" applyNumberFormat="0" applyAlignment="0" applyProtection="0"/>
  </cellStyleXfs>
  <cellXfs count="10">
    <xf numFmtId="0" fontId="0" fillId="0" borderId="0" xfId="0"/>
    <xf numFmtId="14" fontId="0" fillId="0" borderId="0" xfId="0" applyNumberFormat="1"/>
    <xf numFmtId="0" fontId="0" fillId="0" borderId="0" xfId="0" applyProtection="1">
      <protection hidden="1"/>
    </xf>
    <xf numFmtId="22" fontId="0" fillId="0" borderId="0" xfId="0" applyNumberFormat="1"/>
    <xf numFmtId="0" fontId="4" fillId="0" borderId="0" xfId="0" applyFont="1"/>
    <xf numFmtId="0" fontId="6" fillId="0" borderId="0" xfId="1" applyProtection="1"/>
    <xf numFmtId="0" fontId="2" fillId="0" borderId="0" xfId="0" applyFont="1"/>
    <xf numFmtId="49" fontId="0" fillId="0" borderId="0" xfId="0" applyNumberFormat="1"/>
    <xf numFmtId="0" fontId="1" fillId="0" borderId="0" xfId="0" applyFont="1"/>
    <xf numFmtId="0" fontId="7" fillId="2" borderId="1" xfId="2" applyProtection="1">
      <protection locked="0"/>
    </xf>
  </cellXfs>
  <cellStyles count="3">
    <cellStyle name="Hyperlink" xfId="1" builtinId="8"/>
    <cellStyle name="Input" xfId="2" builtinId="20"/>
    <cellStyle name="Normal" xfId="0" builtinId="0"/>
  </cellStyles>
  <dxfs count="3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0" hidden="0"/>
    </dxf>
    <dxf>
      <protection locked="0" hidden="0"/>
    </dxf>
    <dxf>
      <protection locked="1"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5" Type="http://schemas.openxmlformats.org/officeDocument/2006/relationships/customXml" Target="../customXml/item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233774</xdr:colOff>
      <xdr:row>19</xdr:row>
      <xdr:rowOff>21167</xdr:rowOff>
    </xdr:from>
    <xdr:to>
      <xdr:col>2</xdr:col>
      <xdr:colOff>2031999</xdr:colOff>
      <xdr:row>20</xdr:row>
      <xdr:rowOff>182033</xdr:rowOff>
    </xdr:to>
    <xdr:sp macro="[0]!DownloadFiles" textlink="">
      <xdr:nvSpPr>
        <xdr:cNvPr id="2" name="Rectangle: Beveled 1">
          <a:extLst>
            <a:ext uri="{FF2B5EF4-FFF2-40B4-BE49-F238E27FC236}">
              <a16:creationId xmlns:a16="http://schemas.microsoft.com/office/drawing/2014/main" id="{ABD8E055-5C92-4FF4-B78F-297825CF9F22}"/>
            </a:ext>
          </a:extLst>
        </xdr:cNvPr>
        <xdr:cNvSpPr/>
      </xdr:nvSpPr>
      <xdr:spPr>
        <a:xfrm>
          <a:off x="2119724" y="3495887"/>
          <a:ext cx="1798225" cy="343746"/>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Download</a:t>
          </a:r>
          <a:endParaRPr lang="en-US" sz="1100" baseline="0"/>
        </a:p>
      </xdr:txBody>
    </xdr:sp>
    <xdr:clientData/>
  </xdr:twoCellAnchor>
  <xdr:twoCellAnchor editAs="oneCell">
    <xdr:from>
      <xdr:col>0</xdr:col>
      <xdr:colOff>550333</xdr:colOff>
      <xdr:row>23</xdr:row>
      <xdr:rowOff>105833</xdr:rowOff>
    </xdr:from>
    <xdr:to>
      <xdr:col>2</xdr:col>
      <xdr:colOff>362189</xdr:colOff>
      <xdr:row>29</xdr:row>
      <xdr:rowOff>156732</xdr:rowOff>
    </xdr:to>
    <xdr:pic>
      <xdr:nvPicPr>
        <xdr:cNvPr id="4" name="Picture 3">
          <a:extLst>
            <a:ext uri="{FF2B5EF4-FFF2-40B4-BE49-F238E27FC236}">
              <a16:creationId xmlns:a16="http://schemas.microsoft.com/office/drawing/2014/main" id="{F23FE36F-2349-4B5F-AAED-AE7807846A0C}"/>
            </a:ext>
          </a:extLst>
        </xdr:cNvPr>
        <xdr:cNvPicPr>
          <a:picLocks noChangeAspect="1"/>
        </xdr:cNvPicPr>
      </xdr:nvPicPr>
      <xdr:blipFill>
        <a:blip xmlns:r="http://schemas.openxmlformats.org/officeDocument/2006/relationships" r:embed="rId1"/>
        <a:stretch>
          <a:fillRect/>
        </a:stretch>
      </xdr:blipFill>
      <xdr:spPr>
        <a:xfrm>
          <a:off x="176953" y="4376843"/>
          <a:ext cx="2764606" cy="1148179"/>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546101</xdr:colOff>
      <xdr:row>36</xdr:row>
      <xdr:rowOff>122765</xdr:rowOff>
    </xdr:from>
    <xdr:to>
      <xdr:col>1</xdr:col>
      <xdr:colOff>1753176</xdr:colOff>
      <xdr:row>41</xdr:row>
      <xdr:rowOff>85171</xdr:rowOff>
    </xdr:to>
    <xdr:pic>
      <xdr:nvPicPr>
        <xdr:cNvPr id="7" name="Picture 6">
          <a:extLst>
            <a:ext uri="{FF2B5EF4-FFF2-40B4-BE49-F238E27FC236}">
              <a16:creationId xmlns:a16="http://schemas.microsoft.com/office/drawing/2014/main" id="{4F35A984-59CE-4228-B8B6-461758584208}"/>
            </a:ext>
          </a:extLst>
        </xdr:cNvPr>
        <xdr:cNvPicPr>
          <a:picLocks noChangeAspect="1"/>
        </xdr:cNvPicPr>
      </xdr:nvPicPr>
      <xdr:blipFill>
        <a:blip xmlns:r="http://schemas.openxmlformats.org/officeDocument/2006/relationships" r:embed="rId2"/>
        <a:stretch>
          <a:fillRect/>
        </a:stretch>
      </xdr:blipFill>
      <xdr:spPr>
        <a:xfrm>
          <a:off x="176531" y="6908375"/>
          <a:ext cx="1751059" cy="953006"/>
        </a:xfrm>
        <a:prstGeom prst="rect">
          <a:avLst/>
        </a:prstGeom>
        <a:ln>
          <a:noFill/>
        </a:ln>
        <a:effectLst>
          <a:outerShdw blurRad="292100" dist="139700" dir="2700000" algn="tl" rotWithShape="0">
            <a:srgbClr val="333333">
              <a:alpha val="65000"/>
            </a:srgbClr>
          </a:outerShdw>
        </a:effec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3" xr16:uid="{6D7553EB-1BBB-4D54-9EBE-456B421E8377}" autoFormatId="16" applyNumberFormats="0" applyBorderFormats="0" applyFontFormats="0" applyPatternFormats="0" applyAlignmentFormats="0" applyWidthHeightFormats="0">
  <queryTableRefresh nextId="2">
    <queryTableFields count="1">
      <queryTableField id="1" name="Mode"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4" xr16:uid="{D2C71478-2A8B-4C0C-958E-C4F33D4222BB}" autoFormatId="16" applyNumberFormats="0" applyBorderFormats="0" applyFontFormats="0" applyPatternFormats="0" applyAlignmentFormats="0" applyWidthHeightFormats="0">
  <queryTableRefresh nextId="12">
    <queryTableFields count="11">
      <queryTableField id="1" name="Custom Visual" tableColumnId="1"/>
      <queryTableField id="2" name="Publisher" tableColumnId="2"/>
      <queryTableField id="3" name="Description" tableColumnId="3"/>
      <queryTableField id="4" name="Version" tableColumnId="4"/>
      <queryTableField id="5" name="LegalTerms" tableColumnId="5"/>
      <queryTableField id="6" name="PrivacyPolicyUrl" tableColumnId="6"/>
      <queryTableField id="7" name="SupportLink" tableColumnId="7"/>
      <queryTableField id="8" name="Release Date" tableColumnId="8"/>
      <queryTableField id="9" name="AppSource Link" tableColumnId="9"/>
      <queryTableField id="10" name="Is Certified" tableColumnId="10"/>
      <queryTableField id="11" name="Versioned pbiviz" tableColumnId="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removeDataOnSave="1" connectionId="1" xr16:uid="{00000000-0016-0000-0100-000000000000}" autoFormatId="16" applyNumberFormats="0" applyBorderFormats="0" applyFontFormats="0" applyPatternFormats="0" applyAlignmentFormats="0" applyWidthHeightFormats="0">
  <queryTableRefresh nextId="114">
    <queryTableFields count="30">
      <queryTableField id="1" name="ID" tableColumnId="1"/>
      <queryTableField id="76" name="Name" tableColumnId="2"/>
      <queryTableField id="12" name="Description" tableColumnId="5"/>
      <queryTableField id="84" name="Long Summary" tableColumnId="4"/>
      <queryTableField id="30" name="Description Full" tableColumnId="7"/>
      <queryTableField id="14" name="Publisher" tableColumnId="10"/>
      <queryTableField id="35" name="Version" tableColumnId="15"/>
      <queryTableField id="85" name="LegalTerms" tableColumnId="13"/>
      <queryTableField id="29" name="PrivacyPolicyUrl" tableColumnId="6"/>
      <queryTableField id="32" name="SupportLink" tableColumnId="9"/>
      <queryTableField id="86" name="Categories" tableColumnId="14"/>
      <queryTableField id="56" name="Image" tableColumnId="22"/>
      <queryTableField id="31" name="LargeIconUri" tableColumnId="8"/>
      <queryTableField id="87" name="Keywords" tableColumnId="19"/>
      <queryTableField id="88" name="Popularity" tableColumnId="21"/>
      <queryTableField id="89" name="HasFreePlans" tableColumnId="24"/>
      <queryTableField id="36" name="Release Date" tableColumnId="16"/>
      <queryTableField id="81" name="PBIVIZ" tableColumnId="20"/>
      <queryTableField id="75" name="PBIX" tableColumnId="23"/>
      <queryTableField id="90" name="App Free Type" tableColumnId="25"/>
      <queryTableField id="38" name="Link" tableColumnId="18"/>
      <queryTableField id="91" name="Is Certified" tableColumnId="26"/>
      <queryTableField id="10" name="Certified" tableColumnId="3"/>
      <queryTableField id="37" name="# of Ratings" tableColumnId="17"/>
      <queryTableField id="26" name="Average Rating" tableColumnId="12"/>
      <queryTableField id="92" name="CSAT" tableColumnId="27"/>
      <queryTableField id="93" name="NPS" tableColumnId="28"/>
      <queryTableField id="94" name="Favorite New" tableColumnId="29"/>
      <queryTableField id="112" name="Filename" tableColumnId="30"/>
      <queryTableField id="113" name="Simple Filename" tableColumnId="3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8EC0936-8E23-4190-A0EB-284E1B688FDD}" name="Params" displayName="Params" ref="B20:B21" totalsRowShown="0" headerRowDxfId="36" dataDxfId="35" dataCellStyle="Input">
  <autoFilter ref="B20:B21" xr:uid="{18EC0936-8E23-4190-A0EB-284E1B688FDD}"/>
  <tableColumns count="1">
    <tableColumn id="4" xr3:uid="{BCE03DA4-9660-416B-93D9-0DB9F5C973BE}" name="License Key or Subscription Email" dataDxfId="34" dataCellStyle="Inpu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64A4C5-AAD2-49FF-BA47-AE472F13E9F1}" name="Mode" displayName="Mode" ref="A1:A2" tableType="queryTable" totalsRowShown="0">
  <autoFilter ref="A1:A2" xr:uid="{3C64A4C5-AAD2-49FF-BA47-AE472F13E9F1}"/>
  <tableColumns count="1">
    <tableColumn id="1" xr3:uid="{AA2EB88F-08EE-4181-878E-7C8C612B2BF1}" uniqueName="1" name="Mode" queryTableFieldId="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30A13EB-0226-406C-9693-F9AA3C99586B}" name="Visuals_Summary" displayName="Visuals_Summary" ref="A1:K21" tableType="queryTable" totalsRowShown="0">
  <autoFilter ref="A1:K21" xr:uid="{F30A13EB-0226-406C-9693-F9AA3C99586B}"/>
  <tableColumns count="11">
    <tableColumn id="1" xr3:uid="{0EE4605E-C67A-4F9F-8B1A-961A9DFA2DB7}" uniqueName="1" name="Custom Visual" queryTableFieldId="1" dataDxfId="33"/>
    <tableColumn id="2" xr3:uid="{4803FA79-1B8F-4AC5-B77E-DD893227756A}" uniqueName="2" name="Publisher" queryTableFieldId="2" dataDxfId="32"/>
    <tableColumn id="3" xr3:uid="{C446AFEF-F30B-40C4-96D8-EB8BE6BEADC4}" uniqueName="3" name="Description" queryTableFieldId="3" dataDxfId="31"/>
    <tableColumn id="4" xr3:uid="{A394461A-8F11-4E66-BE65-AA797A9BAD43}" uniqueName="4" name="Version" queryTableFieldId="4" dataDxfId="30"/>
    <tableColumn id="5" xr3:uid="{ED01A896-4367-4A9A-8B08-FB7D23795945}" uniqueName="5" name="LegalTerms" queryTableFieldId="5" dataDxfId="29"/>
    <tableColumn id="6" xr3:uid="{815D1709-D0A5-40F1-9CA6-478982EAFD2F}" uniqueName="6" name="PrivacyPolicyUrl" queryTableFieldId="6" dataDxfId="28"/>
    <tableColumn id="7" xr3:uid="{600EEA62-4CAF-40D2-A8C0-F1B33501E4AF}" uniqueName="7" name="SupportLink" queryTableFieldId="7" dataDxfId="27"/>
    <tableColumn id="8" xr3:uid="{61350505-6255-4C56-A1A2-86128C96581A}" uniqueName="8" name="Release Date" queryTableFieldId="8" dataDxfId="26"/>
    <tableColumn id="9" xr3:uid="{7C7AB076-4978-4A68-AE89-4952F761E82A}" uniqueName="9" name="AppSource Link" queryTableFieldId="9" dataDxfId="25"/>
    <tableColumn id="10" xr3:uid="{66DA9359-033C-4E29-AFEB-57A8BE38EC85}" uniqueName="10" name="Is Certified" queryTableFieldId="10" dataDxfId="24"/>
    <tableColumn id="11" xr3:uid="{53FACE56-1E90-4CB8-AD18-ADDE5C9885B7}" uniqueName="11" name="Versioned pbiviz" queryTableFieldId="11" dataDxfId="2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1ADFDF-8DD4-469F-A4BA-B4D595184933}" name="Custom_Visuals" displayName="Custom_Visuals" ref="A1:AD21" tableType="queryTable" totalsRowShown="0">
  <autoFilter ref="A1:AD21" xr:uid="{AFB27C50-2DFC-45EE-A5CB-36F39EDC80BC}">
    <filterColumn colId="29">
      <filters>
        <filter val="Power Slicer 高级切片器"/>
      </filters>
    </filterColumn>
  </autoFilter>
  <tableColumns count="30">
    <tableColumn id="1" xr3:uid="{58249ACF-BE50-4F48-A265-A7905DB76741}" uniqueName="1" name="ID" queryTableFieldId="1" dataDxfId="22"/>
    <tableColumn id="2" xr3:uid="{EDDFA5CB-19F0-4EFA-9A4A-8DA1B33309B1}" uniqueName="2" name="Name" queryTableFieldId="76" dataDxfId="21"/>
    <tableColumn id="5" xr3:uid="{8B4E2597-7180-4DEA-A83F-4E53199C57BD}" uniqueName="5" name="Description" queryTableFieldId="12" dataDxfId="20"/>
    <tableColumn id="4" xr3:uid="{6BA190FF-9EFB-444A-8A7F-46C5CC5CB5DF}" uniqueName="4" name="Long Summary" queryTableFieldId="84" dataDxfId="19"/>
    <tableColumn id="7" xr3:uid="{A28C4E05-5133-440F-A512-B6CD711E45BE}" uniqueName="7" name="Description Full" queryTableFieldId="30" dataDxfId="18"/>
    <tableColumn id="10" xr3:uid="{6946C87A-D553-4EC7-88CA-59065DF3D188}" uniqueName="10" name="Publisher" queryTableFieldId="14" dataDxfId="17"/>
    <tableColumn id="15" xr3:uid="{C6B59DE7-FB57-412C-BD94-EC6B0AE1A381}" uniqueName="15" name="Version" queryTableFieldId="35" dataDxfId="16"/>
    <tableColumn id="13" xr3:uid="{6E3F8DF9-7921-408C-8C32-5CD864B82FCC}" uniqueName="13" name="LegalTerms" queryTableFieldId="85" dataDxfId="15"/>
    <tableColumn id="6" xr3:uid="{2E0E5759-2131-4C68-BC32-6006B9251261}" uniqueName="6" name="PrivacyPolicyUrl" queryTableFieldId="29" dataDxfId="14"/>
    <tableColumn id="9" xr3:uid="{FB655282-464D-44CA-9988-D56C20D9B064}" uniqueName="9" name="SupportLink" queryTableFieldId="32" dataDxfId="13"/>
    <tableColumn id="14" xr3:uid="{1F88A01B-937C-4A1B-B302-763621919CC7}" uniqueName="14" name="Categories" queryTableFieldId="86" dataDxfId="12"/>
    <tableColumn id="22" xr3:uid="{C8A358C7-D887-4074-ABEE-87E251AD4A82}" uniqueName="22" name="Image" queryTableFieldId="56" dataDxfId="11"/>
    <tableColumn id="8" xr3:uid="{B4C015FC-3C3C-4352-9ED9-3BF8C8934E83}" uniqueName="8" name="LargeIconUri" queryTableFieldId="31" dataDxfId="10"/>
    <tableColumn id="19" xr3:uid="{D2BCA77B-C8C5-4D15-8CB1-B8E5CB4ADCEB}" uniqueName="19" name="Keywords" queryTableFieldId="87" dataDxfId="9"/>
    <tableColumn id="21" xr3:uid="{1EA5C771-E3CF-41B8-A7F6-B329A42DFA0E}" uniqueName="21" name="Popularity" queryTableFieldId="88"/>
    <tableColumn id="24" xr3:uid="{B2EFF3D9-45D6-4FE3-9EC9-56862C17D373}" uniqueName="24" name="HasFreePlans" queryTableFieldId="89"/>
    <tableColumn id="16" xr3:uid="{BC61668D-2FF2-4EDC-94B0-925CD44BF066}" uniqueName="16" name="Release Date" queryTableFieldId="36" dataDxfId="8"/>
    <tableColumn id="20" xr3:uid="{D2E2323F-6561-49FC-AE3A-1EEA74331909}" uniqueName="20" name="PBIVIZ" queryTableFieldId="81" dataDxfId="7"/>
    <tableColumn id="23" xr3:uid="{E1E16C01-3892-42CD-82FC-2F846BC02259}" uniqueName="23" name="PBIX" queryTableFieldId="75" dataDxfId="6"/>
    <tableColumn id="25" xr3:uid="{2FA1D4D2-7924-4B09-832A-098A79E9B08D}" uniqueName="25" name="App Free Type" queryTableFieldId="90" dataDxfId="5"/>
    <tableColumn id="18" xr3:uid="{722B4091-A1CD-4ECD-8836-CB9A21E0C77A}" uniqueName="18" name="Link" queryTableFieldId="38" dataDxfId="4"/>
    <tableColumn id="26" xr3:uid="{6EFD6271-3A3E-4C50-86EB-14A4310F0227}" uniqueName="26" name="Is Certified" queryTableFieldId="91" dataDxfId="3"/>
    <tableColumn id="3" xr3:uid="{DE023AC1-2E7D-440F-A750-D25E69A6D394}" uniqueName="3" name="Certified" queryTableFieldId="10"/>
    <tableColumn id="17" xr3:uid="{2E422361-8547-44CA-AA55-014344387827}" uniqueName="17" name="# of Ratings" queryTableFieldId="37"/>
    <tableColumn id="12" xr3:uid="{219293C6-7C13-474D-8A82-97CC927A338F}" uniqueName="12" name="Average Rating" queryTableFieldId="26" dataDxfId="2"/>
    <tableColumn id="27" xr3:uid="{F9CBCC2D-67D6-401F-AC0D-96EA3CCA6B83}" uniqueName="27" name="CSAT" queryTableFieldId="92"/>
    <tableColumn id="28" xr3:uid="{B53346A0-B13A-47EB-B0F2-79DF66A83641}" uniqueName="28" name="NPS" queryTableFieldId="93"/>
    <tableColumn id="29" xr3:uid="{28915CD4-F22D-48C2-8E28-A80FC2546305}" uniqueName="29" name="Favorite New" queryTableFieldId="94"/>
    <tableColumn id="30" xr3:uid="{5F9CA04C-703C-46C4-9F83-0094F6BED6B8}" uniqueName="30" name="Filename" queryTableFieldId="112" dataDxfId="1"/>
    <tableColumn id="31" xr3:uid="{F7F36F4F-D592-4973-8928-5B137BB6D504}" uniqueName="31" name="Simple Filename" queryTableFieldId="113"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494FF-395B-4C0A-9571-70CBF8E37E2F}">
  <sheetPr codeName="Sheet2"/>
  <dimension ref="B1:E67"/>
  <sheetViews>
    <sheetView showGridLines="0" showRowColHeaders="0" tabSelected="1" zoomScale="90" zoomScaleNormal="90" workbookViewId="0">
      <selection activeCell="B21" sqref="B21"/>
    </sheetView>
  </sheetViews>
  <sheetFormatPr defaultRowHeight="14.4" x14ac:dyDescent="0.55000000000000004"/>
  <cols>
    <col min="1" max="1" width="2.41796875" customWidth="1"/>
    <col min="2" max="2" width="33.20703125" customWidth="1"/>
    <col min="3" max="3" width="31.20703125" customWidth="1"/>
    <col min="4" max="4" width="15.9453125" customWidth="1"/>
    <col min="5" max="5" width="18.41796875" bestFit="1" customWidth="1"/>
    <col min="8" max="8" width="16.68359375" customWidth="1"/>
    <col min="9" max="9" width="26.1015625" bestFit="1" customWidth="1"/>
    <col min="10" max="10" width="23.89453125" customWidth="1"/>
    <col min="11" max="11" width="29.1015625" customWidth="1"/>
    <col min="14" max="14" width="22.5234375" customWidth="1"/>
    <col min="15" max="15" width="30.89453125" bestFit="1" customWidth="1"/>
    <col min="16" max="16" width="19.1015625" bestFit="1" customWidth="1"/>
  </cols>
  <sheetData>
    <row r="1" spans="2:2" ht="10.5" customHeight="1" x14ac:dyDescent="0.55000000000000004"/>
    <row r="2" spans="2:2" ht="18.3" x14ac:dyDescent="0.7">
      <c r="B2" s="4" t="s">
        <v>65</v>
      </c>
    </row>
    <row r="4" spans="2:2" x14ac:dyDescent="0.55000000000000004">
      <c r="B4" t="s">
        <v>97</v>
      </c>
    </row>
    <row r="6" spans="2:2" x14ac:dyDescent="0.55000000000000004">
      <c r="B6" t="s">
        <v>98</v>
      </c>
    </row>
    <row r="8" spans="2:2" x14ac:dyDescent="0.55000000000000004">
      <c r="B8" t="s">
        <v>99</v>
      </c>
    </row>
    <row r="9" spans="2:2" x14ac:dyDescent="0.55000000000000004">
      <c r="B9" s="5" t="str">
        <f>HYPERLINK("https://buy.stripe.com/28oeVLfRF3GkbU47sD")</f>
        <v>https://buy.stripe.com/28oeVLfRF3GkbU47sD</v>
      </c>
    </row>
    <row r="10" spans="2:2" x14ac:dyDescent="0.55000000000000004">
      <c r="B10" s="5"/>
    </row>
    <row r="11" spans="2:2" x14ac:dyDescent="0.55000000000000004">
      <c r="B11" t="s">
        <v>363</v>
      </c>
    </row>
    <row r="13" spans="2:2" x14ac:dyDescent="0.55000000000000004">
      <c r="B13" t="s">
        <v>100</v>
      </c>
    </row>
    <row r="15" spans="2:2" x14ac:dyDescent="0.55000000000000004">
      <c r="B15" t="s">
        <v>101</v>
      </c>
    </row>
    <row r="17" spans="2:5" x14ac:dyDescent="0.55000000000000004">
      <c r="B17" t="s">
        <v>365</v>
      </c>
    </row>
    <row r="18" spans="2:5" x14ac:dyDescent="0.55000000000000004">
      <c r="B18" t="s">
        <v>366</v>
      </c>
    </row>
    <row r="20" spans="2:5" x14ac:dyDescent="0.55000000000000004">
      <c r="B20" t="s">
        <v>362</v>
      </c>
      <c r="D20" s="2" t="s">
        <v>103</v>
      </c>
      <c r="E20" s="2" t="str" cm="1">
        <f t="array" ref="E20" xml:space="preserve"> IF(Mode[Mode], "Refreshed Visuals:", "Refresh Limit:")</f>
        <v>Refresh Limit:</v>
      </c>
    </row>
    <row r="21" spans="2:5" x14ac:dyDescent="0.55000000000000004">
      <c r="B21" s="9" t="s">
        <v>364</v>
      </c>
      <c r="D21" s="2" t="str" cm="1">
        <f t="array" ref="D21">IF(Mode[Mode],"All Visuals", "Free")</f>
        <v>Free</v>
      </c>
      <c r="E21" s="2" t="str" cm="1">
        <f t="array" ref="E21" xml:space="preserve"> IF(Mode[Mode], COUNTA('Visuals Summary'!A:A)-1, "20 visuals")</f>
        <v>20 visuals</v>
      </c>
    </row>
    <row r="22" spans="2:5" ht="19.5" customHeight="1" x14ac:dyDescent="0.55000000000000004"/>
    <row r="23" spans="2:5" x14ac:dyDescent="0.55000000000000004">
      <c r="B23" t="s">
        <v>104</v>
      </c>
    </row>
    <row r="32" spans="2:5" x14ac:dyDescent="0.55000000000000004">
      <c r="B32" t="s">
        <v>105</v>
      </c>
    </row>
    <row r="33" spans="2:2" x14ac:dyDescent="0.55000000000000004">
      <c r="B33" t="s">
        <v>106</v>
      </c>
    </row>
    <row r="34" spans="2:2" x14ac:dyDescent="0.55000000000000004">
      <c r="B34" t="s">
        <v>107</v>
      </c>
    </row>
    <row r="35" spans="2:2" x14ac:dyDescent="0.55000000000000004">
      <c r="B35" t="s">
        <v>108</v>
      </c>
    </row>
    <row r="36" spans="2:2" ht="25.2" customHeight="1" x14ac:dyDescent="0.55000000000000004">
      <c r="B36" t="s">
        <v>109</v>
      </c>
    </row>
    <row r="37" spans="2:2" ht="22.8" customHeight="1" x14ac:dyDescent="0.55000000000000004"/>
    <row r="38" spans="2:2" ht="20.399999999999999" x14ac:dyDescent="0.75">
      <c r="B38" s="6"/>
    </row>
    <row r="44" spans="2:2" x14ac:dyDescent="0.55000000000000004">
      <c r="B44" t="s">
        <v>110</v>
      </c>
    </row>
    <row r="45" spans="2:2" x14ac:dyDescent="0.55000000000000004">
      <c r="B45" s="7" t="s">
        <v>111</v>
      </c>
    </row>
    <row r="46" spans="2:2" x14ac:dyDescent="0.55000000000000004">
      <c r="B46" s="7" t="s">
        <v>112</v>
      </c>
    </row>
    <row r="47" spans="2:2" x14ac:dyDescent="0.55000000000000004">
      <c r="B47" t="s">
        <v>113</v>
      </c>
    </row>
    <row r="49" spans="2:2" x14ac:dyDescent="0.55000000000000004">
      <c r="B49" s="8" t="s">
        <v>367</v>
      </c>
    </row>
    <row r="50" spans="2:2" x14ac:dyDescent="0.55000000000000004">
      <c r="B50" t="s">
        <v>114</v>
      </c>
    </row>
    <row r="52" spans="2:2" x14ac:dyDescent="0.55000000000000004">
      <c r="B52" t="s">
        <v>115</v>
      </c>
    </row>
    <row r="54" spans="2:2" x14ac:dyDescent="0.55000000000000004">
      <c r="B54" t="s">
        <v>116</v>
      </c>
    </row>
    <row r="55" spans="2:2" x14ac:dyDescent="0.55000000000000004">
      <c r="B55" s="5" t="str">
        <f>HYPERLINK("https://buy.stripe.com/28oeVLfRF3GkbU47sD")</f>
        <v>https://buy.stripe.com/28oeVLfRF3GkbU47sD</v>
      </c>
    </row>
    <row r="56" spans="2:2" x14ac:dyDescent="0.55000000000000004">
      <c r="B56" s="5"/>
    </row>
    <row r="57" spans="2:2" x14ac:dyDescent="0.55000000000000004">
      <c r="B57" t="s">
        <v>117</v>
      </c>
    </row>
    <row r="59" spans="2:2" x14ac:dyDescent="0.55000000000000004">
      <c r="B59" t="s">
        <v>118</v>
      </c>
    </row>
    <row r="61" spans="2:2" x14ac:dyDescent="0.55000000000000004">
      <c r="B61" t="s">
        <v>101</v>
      </c>
    </row>
    <row r="63" spans="2:2" x14ac:dyDescent="0.55000000000000004">
      <c r="B63" t="s">
        <v>102</v>
      </c>
    </row>
    <row r="65" spans="2:2" x14ac:dyDescent="0.55000000000000004">
      <c r="B65" t="s">
        <v>119</v>
      </c>
    </row>
    <row r="66" spans="2:2" x14ac:dyDescent="0.55000000000000004">
      <c r="B66" t="s">
        <v>120</v>
      </c>
    </row>
    <row r="67" spans="2:2" x14ac:dyDescent="0.55000000000000004">
      <c r="B67" t="s">
        <v>121</v>
      </c>
    </row>
  </sheetData>
  <sheetProtection algorithmName="SHA-512" hashValue="XUxsKM3MVImIbvAGd1lSddx4gCwhkFGpl48+lUIeGCvsLFkBnrYVq3XeIuGIPhDnb4M294fmr7fNGMGyAxWSoQ==" saltValue="LmZW/qMmOWDvaWKYil1YTg==" spinCount="100000" sheet="1" objects="1" scenarios="1"/>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1F704-658E-4F75-B00A-08A8DF557A1C}">
  <sheetPr codeName="Sheet3"/>
  <dimension ref="A1:A2"/>
  <sheetViews>
    <sheetView workbookViewId="0">
      <selection activeCell="A2" sqref="A1:A2"/>
    </sheetView>
  </sheetViews>
  <sheetFormatPr defaultRowHeight="14.4" x14ac:dyDescent="0.55000000000000004"/>
  <cols>
    <col min="1" max="1" width="7.68359375" bestFit="1" customWidth="1"/>
  </cols>
  <sheetData>
    <row r="1" spans="1:1" x14ac:dyDescent="0.55000000000000004">
      <c r="A1" t="s">
        <v>122</v>
      </c>
    </row>
    <row r="2" spans="1:1" x14ac:dyDescent="0.55000000000000004">
      <c r="A2" t="b">
        <v>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04E36-732C-4764-B4FB-66C7B9C452DD}">
  <sheetPr codeName="Sheet4"/>
  <dimension ref="A1:K21"/>
  <sheetViews>
    <sheetView workbookViewId="0">
      <selection sqref="A1:K540"/>
    </sheetView>
  </sheetViews>
  <sheetFormatPr defaultRowHeight="14.4" x14ac:dyDescent="0.55000000000000004"/>
  <cols>
    <col min="1" max="1" width="28.26171875" bestFit="1" customWidth="1"/>
    <col min="2" max="2" width="29.26171875" bestFit="1" customWidth="1"/>
    <col min="3" max="3" width="78.68359375" bestFit="1" customWidth="1"/>
    <col min="4" max="4" width="9.1015625" bestFit="1" customWidth="1"/>
    <col min="5" max="5" width="40.15625" bestFit="1" customWidth="1"/>
    <col min="6" max="6" width="71.41796875" bestFit="1" customWidth="1"/>
    <col min="7" max="7" width="64.578125" bestFit="1" customWidth="1"/>
    <col min="8" max="8" width="13.47265625" bestFit="1" customWidth="1"/>
    <col min="9" max="9" width="80.83984375" bestFit="1" customWidth="1"/>
    <col min="10" max="10" width="11.68359375" bestFit="1" customWidth="1"/>
    <col min="11" max="11" width="80.83984375" bestFit="1" customWidth="1"/>
  </cols>
  <sheetData>
    <row r="1" spans="1:11" x14ac:dyDescent="0.55000000000000004">
      <c r="A1" t="s">
        <v>67</v>
      </c>
      <c r="B1" t="s">
        <v>5</v>
      </c>
      <c r="C1" t="s">
        <v>3</v>
      </c>
      <c r="D1" t="s">
        <v>11</v>
      </c>
      <c r="E1" t="s">
        <v>18</v>
      </c>
      <c r="F1" t="s">
        <v>7</v>
      </c>
      <c r="G1" t="s">
        <v>10</v>
      </c>
      <c r="H1" t="s">
        <v>12</v>
      </c>
      <c r="I1" t="s">
        <v>68</v>
      </c>
      <c r="J1" t="s">
        <v>24</v>
      </c>
      <c r="K1" t="s">
        <v>69</v>
      </c>
    </row>
    <row r="2" spans="1:11" x14ac:dyDescent="0.55000000000000004">
      <c r="A2" t="s">
        <v>86</v>
      </c>
      <c r="B2" t="s">
        <v>36</v>
      </c>
      <c r="C2" t="s">
        <v>76</v>
      </c>
      <c r="D2" t="s">
        <v>78</v>
      </c>
      <c r="E2" t="s">
        <v>30</v>
      </c>
      <c r="F2" t="s">
        <v>37</v>
      </c>
      <c r="G2" t="s">
        <v>38</v>
      </c>
      <c r="H2" s="1">
        <v>45309</v>
      </c>
      <c r="I2" t="s">
        <v>92</v>
      </c>
      <c r="J2" t="s">
        <v>29</v>
      </c>
      <c r="K2" t="s">
        <v>96</v>
      </c>
    </row>
    <row r="3" spans="1:11" x14ac:dyDescent="0.55000000000000004">
      <c r="A3" t="s">
        <v>75</v>
      </c>
      <c r="B3" t="s">
        <v>36</v>
      </c>
      <c r="C3" t="s">
        <v>76</v>
      </c>
      <c r="D3" t="s">
        <v>78</v>
      </c>
      <c r="E3" t="s">
        <v>30</v>
      </c>
      <c r="F3" t="s">
        <v>37</v>
      </c>
      <c r="G3" t="s">
        <v>38</v>
      </c>
      <c r="H3" s="1">
        <v>45309</v>
      </c>
      <c r="I3" t="s">
        <v>83</v>
      </c>
      <c r="J3" t="s">
        <v>29</v>
      </c>
      <c r="K3" t="s">
        <v>95</v>
      </c>
    </row>
    <row r="4" spans="1:11" x14ac:dyDescent="0.55000000000000004">
      <c r="A4" t="s">
        <v>56</v>
      </c>
      <c r="B4" t="s">
        <v>59</v>
      </c>
      <c r="C4" t="s">
        <v>57</v>
      </c>
      <c r="D4" t="s">
        <v>42</v>
      </c>
      <c r="E4" t="s">
        <v>30</v>
      </c>
      <c r="F4" t="s">
        <v>60</v>
      </c>
      <c r="G4" t="s">
        <v>61</v>
      </c>
      <c r="H4" s="1">
        <v>45308</v>
      </c>
      <c r="I4" t="s">
        <v>64</v>
      </c>
      <c r="J4" t="s">
        <v>29</v>
      </c>
      <c r="K4" t="s">
        <v>94</v>
      </c>
    </row>
    <row r="5" spans="1:11" x14ac:dyDescent="0.55000000000000004">
      <c r="A5" t="s">
        <v>44</v>
      </c>
      <c r="B5" t="s">
        <v>41</v>
      </c>
      <c r="C5" t="s">
        <v>45</v>
      </c>
      <c r="D5" t="s">
        <v>39</v>
      </c>
      <c r="E5" t="s">
        <v>30</v>
      </c>
      <c r="F5" t="s">
        <v>47</v>
      </c>
      <c r="G5" t="s">
        <v>48</v>
      </c>
      <c r="H5" s="1">
        <v>45307</v>
      </c>
      <c r="I5" t="s">
        <v>53</v>
      </c>
      <c r="J5" t="s">
        <v>29</v>
      </c>
      <c r="K5" t="s">
        <v>70</v>
      </c>
    </row>
    <row r="6" spans="1:11" x14ac:dyDescent="0.55000000000000004">
      <c r="A6" t="s">
        <v>224</v>
      </c>
      <c r="B6" t="s">
        <v>227</v>
      </c>
      <c r="C6" t="s">
        <v>225</v>
      </c>
      <c r="D6" t="s">
        <v>126</v>
      </c>
      <c r="E6" t="s">
        <v>30</v>
      </c>
      <c r="F6" t="s">
        <v>228</v>
      </c>
      <c r="G6" t="s">
        <v>229</v>
      </c>
      <c r="H6" s="1">
        <v>45299</v>
      </c>
      <c r="I6" t="s">
        <v>235</v>
      </c>
      <c r="J6" t="s">
        <v>29</v>
      </c>
      <c r="K6" t="s">
        <v>350</v>
      </c>
    </row>
    <row r="7" spans="1:11" x14ac:dyDescent="0.55000000000000004">
      <c r="A7" t="s">
        <v>298</v>
      </c>
      <c r="B7" t="s">
        <v>36</v>
      </c>
      <c r="C7" t="s">
        <v>153</v>
      </c>
      <c r="D7" t="s">
        <v>300</v>
      </c>
      <c r="E7" t="s">
        <v>30</v>
      </c>
      <c r="F7" t="s">
        <v>37</v>
      </c>
      <c r="G7" t="s">
        <v>38</v>
      </c>
      <c r="H7" s="1">
        <v>45299</v>
      </c>
      <c r="I7" t="s">
        <v>305</v>
      </c>
      <c r="J7" t="s">
        <v>29</v>
      </c>
      <c r="K7" t="s">
        <v>356</v>
      </c>
    </row>
    <row r="8" spans="1:11" x14ac:dyDescent="0.55000000000000004">
      <c r="A8" t="s">
        <v>308</v>
      </c>
      <c r="B8" t="s">
        <v>227</v>
      </c>
      <c r="C8" t="s">
        <v>360</v>
      </c>
      <c r="D8" t="s">
        <v>148</v>
      </c>
      <c r="E8" t="s">
        <v>30</v>
      </c>
      <c r="F8" t="s">
        <v>310</v>
      </c>
      <c r="G8" t="s">
        <v>311</v>
      </c>
      <c r="H8" s="1">
        <v>45293</v>
      </c>
      <c r="I8" t="s">
        <v>317</v>
      </c>
      <c r="J8" t="s">
        <v>29</v>
      </c>
      <c r="K8" t="s">
        <v>357</v>
      </c>
    </row>
    <row r="9" spans="1:11" x14ac:dyDescent="0.55000000000000004">
      <c r="A9" t="s">
        <v>251</v>
      </c>
      <c r="B9" t="s">
        <v>150</v>
      </c>
      <c r="C9" t="s">
        <v>252</v>
      </c>
      <c r="D9" t="s">
        <v>39</v>
      </c>
      <c r="E9" t="s">
        <v>30</v>
      </c>
      <c r="F9" t="s">
        <v>152</v>
      </c>
      <c r="G9" t="s">
        <v>195</v>
      </c>
      <c r="H9" s="1">
        <v>45292</v>
      </c>
      <c r="I9" t="s">
        <v>258</v>
      </c>
      <c r="J9" t="s">
        <v>29</v>
      </c>
      <c r="K9" t="s">
        <v>352</v>
      </c>
    </row>
    <row r="10" spans="1:11" x14ac:dyDescent="0.55000000000000004">
      <c r="A10" t="s">
        <v>333</v>
      </c>
      <c r="B10" t="s">
        <v>123</v>
      </c>
      <c r="C10" t="s">
        <v>334</v>
      </c>
      <c r="D10" t="s">
        <v>336</v>
      </c>
      <c r="E10" t="s">
        <v>30</v>
      </c>
      <c r="F10" t="s">
        <v>124</v>
      </c>
      <c r="G10" t="s">
        <v>125</v>
      </c>
      <c r="H10" s="1">
        <v>45285</v>
      </c>
      <c r="I10" t="s">
        <v>342</v>
      </c>
      <c r="J10" t="s">
        <v>2</v>
      </c>
      <c r="K10" t="s">
        <v>359</v>
      </c>
    </row>
    <row r="11" spans="1:11" x14ac:dyDescent="0.55000000000000004">
      <c r="A11" t="s">
        <v>284</v>
      </c>
      <c r="B11" t="s">
        <v>287</v>
      </c>
      <c r="C11" t="s">
        <v>285</v>
      </c>
      <c r="D11" t="s">
        <v>151</v>
      </c>
      <c r="E11" t="s">
        <v>30</v>
      </c>
      <c r="F11" t="s">
        <v>288</v>
      </c>
      <c r="G11" t="s">
        <v>289</v>
      </c>
      <c r="H11" s="1">
        <v>45280</v>
      </c>
      <c r="I11" t="s">
        <v>295</v>
      </c>
      <c r="J11" t="s">
        <v>29</v>
      </c>
      <c r="K11" t="s">
        <v>355</v>
      </c>
    </row>
    <row r="12" spans="1:11" x14ac:dyDescent="0.55000000000000004">
      <c r="A12" t="s">
        <v>274</v>
      </c>
      <c r="B12" t="s">
        <v>36</v>
      </c>
      <c r="C12" t="s">
        <v>193</v>
      </c>
      <c r="D12" t="s">
        <v>276</v>
      </c>
      <c r="E12" t="s">
        <v>30</v>
      </c>
      <c r="F12" t="s">
        <v>37</v>
      </c>
      <c r="G12" t="s">
        <v>38</v>
      </c>
      <c r="H12" s="1">
        <v>45279</v>
      </c>
      <c r="I12" t="s">
        <v>281</v>
      </c>
      <c r="J12" t="s">
        <v>29</v>
      </c>
      <c r="K12" t="s">
        <v>354</v>
      </c>
    </row>
    <row r="13" spans="1:11" x14ac:dyDescent="0.55000000000000004">
      <c r="A13" t="s">
        <v>155</v>
      </c>
      <c r="B13" t="s">
        <v>132</v>
      </c>
      <c r="C13" t="s">
        <v>156</v>
      </c>
      <c r="D13" t="s">
        <v>158</v>
      </c>
      <c r="E13" t="s">
        <v>30</v>
      </c>
      <c r="F13" t="s">
        <v>134</v>
      </c>
      <c r="G13" t="s">
        <v>135</v>
      </c>
      <c r="H13" s="1">
        <v>45279</v>
      </c>
      <c r="I13" t="s">
        <v>163</v>
      </c>
      <c r="J13" t="s">
        <v>2</v>
      </c>
      <c r="K13" t="s">
        <v>345</v>
      </c>
    </row>
    <row r="14" spans="1:11" x14ac:dyDescent="0.55000000000000004">
      <c r="A14" t="s">
        <v>261</v>
      </c>
      <c r="B14" t="s">
        <v>264</v>
      </c>
      <c r="C14" t="s">
        <v>262</v>
      </c>
      <c r="D14" t="s">
        <v>178</v>
      </c>
      <c r="E14" t="s">
        <v>30</v>
      </c>
      <c r="F14" t="s">
        <v>265</v>
      </c>
      <c r="G14" t="s">
        <v>266</v>
      </c>
      <c r="H14" s="1">
        <v>45278</v>
      </c>
      <c r="I14" t="s">
        <v>271</v>
      </c>
      <c r="J14" t="s">
        <v>29</v>
      </c>
      <c r="K14" t="s">
        <v>353</v>
      </c>
    </row>
    <row r="15" spans="1:11" x14ac:dyDescent="0.55000000000000004">
      <c r="A15" t="s">
        <v>238</v>
      </c>
      <c r="B15" t="s">
        <v>241</v>
      </c>
      <c r="C15" t="s">
        <v>239</v>
      </c>
      <c r="D15" t="s">
        <v>127</v>
      </c>
      <c r="E15" t="s">
        <v>30</v>
      </c>
      <c r="F15" t="s">
        <v>242</v>
      </c>
      <c r="G15" t="s">
        <v>243</v>
      </c>
      <c r="H15" s="1">
        <v>45273</v>
      </c>
      <c r="I15" t="s">
        <v>248</v>
      </c>
      <c r="J15" t="s">
        <v>29</v>
      </c>
      <c r="K15" t="s">
        <v>351</v>
      </c>
    </row>
    <row r="16" spans="1:11" x14ac:dyDescent="0.55000000000000004">
      <c r="A16" t="s">
        <v>320</v>
      </c>
      <c r="B16" t="s">
        <v>322</v>
      </c>
      <c r="C16" t="s">
        <v>321</v>
      </c>
      <c r="D16" t="s">
        <v>323</v>
      </c>
      <c r="E16" t="s">
        <v>30</v>
      </c>
      <c r="F16" t="s">
        <v>324</v>
      </c>
      <c r="G16" t="s">
        <v>325</v>
      </c>
      <c r="H16" s="1">
        <v>45273</v>
      </c>
      <c r="I16" t="s">
        <v>330</v>
      </c>
      <c r="J16" t="s">
        <v>29</v>
      </c>
      <c r="K16" t="s">
        <v>358</v>
      </c>
    </row>
    <row r="17" spans="1:11" x14ac:dyDescent="0.55000000000000004">
      <c r="A17" t="s">
        <v>167</v>
      </c>
      <c r="B17" t="s">
        <v>146</v>
      </c>
      <c r="C17" t="s">
        <v>168</v>
      </c>
      <c r="D17" t="s">
        <v>42</v>
      </c>
      <c r="E17" t="s">
        <v>30</v>
      </c>
      <c r="F17" t="s">
        <v>170</v>
      </c>
      <c r="G17" t="s">
        <v>171</v>
      </c>
      <c r="H17" s="1">
        <v>45272</v>
      </c>
      <c r="I17" t="s">
        <v>176</v>
      </c>
      <c r="J17" t="s">
        <v>29</v>
      </c>
      <c r="K17" t="s">
        <v>346</v>
      </c>
    </row>
    <row r="18" spans="1:11" x14ac:dyDescent="0.55000000000000004">
      <c r="A18" t="s">
        <v>181</v>
      </c>
      <c r="B18" t="s">
        <v>179</v>
      </c>
      <c r="C18" t="s">
        <v>182</v>
      </c>
      <c r="D18" t="s">
        <v>184</v>
      </c>
      <c r="E18" t="s">
        <v>30</v>
      </c>
      <c r="F18" t="s">
        <v>185</v>
      </c>
      <c r="G18" t="s">
        <v>186</v>
      </c>
      <c r="H18" s="1">
        <v>45270</v>
      </c>
      <c r="I18" t="s">
        <v>191</v>
      </c>
      <c r="J18" t="s">
        <v>2</v>
      </c>
      <c r="K18" t="s">
        <v>347</v>
      </c>
    </row>
    <row r="19" spans="1:11" x14ac:dyDescent="0.55000000000000004">
      <c r="A19" t="s">
        <v>197</v>
      </c>
      <c r="B19" t="s">
        <v>200</v>
      </c>
      <c r="C19" t="s">
        <v>198</v>
      </c>
      <c r="D19" t="s">
        <v>201</v>
      </c>
      <c r="E19" t="s">
        <v>30</v>
      </c>
      <c r="F19" t="s">
        <v>202</v>
      </c>
      <c r="G19" t="s">
        <v>203</v>
      </c>
      <c r="H19" s="1">
        <v>45267</v>
      </c>
      <c r="I19" t="s">
        <v>208</v>
      </c>
      <c r="J19" t="s">
        <v>2</v>
      </c>
      <c r="K19" t="s">
        <v>348</v>
      </c>
    </row>
    <row r="20" spans="1:11" x14ac:dyDescent="0.55000000000000004">
      <c r="A20" t="s">
        <v>129</v>
      </c>
      <c r="B20" t="s">
        <v>132</v>
      </c>
      <c r="C20" t="s">
        <v>130</v>
      </c>
      <c r="D20" t="s">
        <v>133</v>
      </c>
      <c r="E20" t="s">
        <v>30</v>
      </c>
      <c r="F20" t="s">
        <v>134</v>
      </c>
      <c r="G20" t="s">
        <v>135</v>
      </c>
      <c r="H20" s="1">
        <v>45264</v>
      </c>
      <c r="I20" t="s">
        <v>141</v>
      </c>
      <c r="J20" t="s">
        <v>2</v>
      </c>
      <c r="K20" t="s">
        <v>344</v>
      </c>
    </row>
    <row r="21" spans="1:11" x14ac:dyDescent="0.55000000000000004">
      <c r="A21" t="s">
        <v>211</v>
      </c>
      <c r="B21" t="s">
        <v>214</v>
      </c>
      <c r="C21" t="s">
        <v>212</v>
      </c>
      <c r="D21" t="s">
        <v>143</v>
      </c>
      <c r="E21" t="s">
        <v>30</v>
      </c>
      <c r="F21" t="s">
        <v>215</v>
      </c>
      <c r="G21" t="s">
        <v>216</v>
      </c>
      <c r="H21" s="1">
        <v>45245</v>
      </c>
      <c r="I21" t="s">
        <v>221</v>
      </c>
      <c r="J21" t="s">
        <v>29</v>
      </c>
      <c r="K21" t="s">
        <v>349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648CC-1E26-434A-80F1-5CF472C46F5F}">
  <sheetPr codeName="Sheet1"/>
  <dimension ref="A1:AD21"/>
  <sheetViews>
    <sheetView workbookViewId="0">
      <selection sqref="A1:AD540"/>
    </sheetView>
  </sheetViews>
  <sheetFormatPr defaultRowHeight="14.4" x14ac:dyDescent="0.55000000000000004"/>
  <cols>
    <col min="1" max="1" width="50.5234375" bestFit="1" customWidth="1"/>
    <col min="2" max="2" width="28.26171875" bestFit="1" customWidth="1"/>
    <col min="3" max="4" width="78.68359375" bestFit="1" customWidth="1"/>
    <col min="5" max="5" width="80.83984375" bestFit="1" customWidth="1"/>
    <col min="6" max="6" width="29.26171875" bestFit="1" customWidth="1"/>
    <col min="7" max="7" width="9.1015625" bestFit="1" customWidth="1"/>
    <col min="8" max="8" width="40.15625" bestFit="1" customWidth="1"/>
    <col min="9" max="9" width="71.41796875" bestFit="1" customWidth="1"/>
    <col min="10" max="10" width="64.578125" bestFit="1" customWidth="1"/>
    <col min="11" max="11" width="32.26171875" bestFit="1" customWidth="1"/>
    <col min="12" max="14" width="80.83984375" bestFit="1" customWidth="1"/>
    <col min="15" max="15" width="11.3125" bestFit="1" customWidth="1"/>
    <col min="16" max="16" width="13.734375" bestFit="1" customWidth="1"/>
    <col min="17" max="17" width="14.15625" bestFit="1" customWidth="1"/>
    <col min="18" max="19" width="80.83984375" bestFit="1" customWidth="1"/>
    <col min="20" max="20" width="14.734375" bestFit="1" customWidth="1"/>
    <col min="21" max="21" width="80.83984375" bestFit="1" customWidth="1"/>
    <col min="22" max="22" width="11.68359375" bestFit="1" customWidth="1"/>
    <col min="23" max="23" width="9.9453125" bestFit="1" customWidth="1"/>
    <col min="24" max="24" width="12.3671875" bestFit="1" customWidth="1"/>
    <col min="25" max="25" width="15.26171875" bestFit="1" customWidth="1"/>
    <col min="26" max="26" width="6.9453125" bestFit="1" customWidth="1"/>
    <col min="27" max="27" width="6.1015625" bestFit="1" customWidth="1"/>
    <col min="28" max="28" width="13.734375" bestFit="1" customWidth="1"/>
    <col min="29" max="29" width="62.20703125" bestFit="1" customWidth="1"/>
    <col min="30" max="30" width="28.26171875" bestFit="1" customWidth="1"/>
    <col min="31" max="31" width="10.3671875" bestFit="1" customWidth="1"/>
    <col min="32" max="32" width="68.89453125" bestFit="1" customWidth="1"/>
    <col min="33" max="33" width="53.41796875" bestFit="1" customWidth="1"/>
    <col min="34" max="34" width="14.62890625" bestFit="1" customWidth="1"/>
    <col min="35" max="36" width="80.89453125" bestFit="1" customWidth="1"/>
    <col min="37" max="37" width="80.62890625" bestFit="1" customWidth="1"/>
    <col min="38" max="38" width="14.5234375" bestFit="1" customWidth="1"/>
    <col min="39" max="39" width="80.62890625" bestFit="1" customWidth="1"/>
    <col min="40" max="40" width="71.3671875" bestFit="1" customWidth="1"/>
    <col min="41" max="41" width="55" bestFit="1" customWidth="1"/>
    <col min="42" max="42" width="80.62890625" bestFit="1" customWidth="1"/>
    <col min="43" max="43" width="80.62890625" customWidth="1"/>
    <col min="44" max="44" width="10.62890625" bestFit="1" customWidth="1"/>
    <col min="45" max="45" width="71.3671875" bestFit="1" customWidth="1"/>
    <col min="46" max="46" width="55" bestFit="1" customWidth="1"/>
    <col min="47" max="48" width="80.62890625" bestFit="1" customWidth="1"/>
    <col min="49" max="49" width="54" bestFit="1" customWidth="1"/>
    <col min="50" max="50" width="39.3671875" bestFit="1" customWidth="1"/>
    <col min="51" max="51" width="80.62890625" bestFit="1" customWidth="1"/>
    <col min="52" max="52" width="15.5234375" bestFit="1" customWidth="1"/>
    <col min="53" max="53" width="18.62890625" bestFit="1" customWidth="1"/>
    <col min="54" max="54" width="70" bestFit="1" customWidth="1"/>
    <col min="55" max="55" width="75" bestFit="1" customWidth="1"/>
    <col min="56" max="56" width="54" bestFit="1" customWidth="1"/>
    <col min="57" max="57" width="32.1015625" bestFit="1" customWidth="1"/>
  </cols>
  <sheetData>
    <row r="1" spans="1:30" x14ac:dyDescent="0.55000000000000004">
      <c r="A1" t="s">
        <v>0</v>
      </c>
      <c r="B1" t="s">
        <v>15</v>
      </c>
      <c r="C1" t="s">
        <v>3</v>
      </c>
      <c r="D1" t="s">
        <v>17</v>
      </c>
      <c r="E1" t="s">
        <v>8</v>
      </c>
      <c r="F1" t="s">
        <v>5</v>
      </c>
      <c r="G1" t="s">
        <v>11</v>
      </c>
      <c r="H1" t="s">
        <v>18</v>
      </c>
      <c r="I1" t="s">
        <v>7</v>
      </c>
      <c r="J1" t="s">
        <v>10</v>
      </c>
      <c r="K1" t="s">
        <v>19</v>
      </c>
      <c r="L1" t="s">
        <v>4</v>
      </c>
      <c r="M1" t="s">
        <v>9</v>
      </c>
      <c r="N1" t="s">
        <v>20</v>
      </c>
      <c r="O1" t="s">
        <v>21</v>
      </c>
      <c r="P1" t="s">
        <v>22</v>
      </c>
      <c r="Q1" t="s">
        <v>12</v>
      </c>
      <c r="R1" t="s">
        <v>16</v>
      </c>
      <c r="S1" t="s">
        <v>1</v>
      </c>
      <c r="T1" t="s">
        <v>23</v>
      </c>
      <c r="U1" t="s">
        <v>14</v>
      </c>
      <c r="V1" t="s">
        <v>24</v>
      </c>
      <c r="W1" t="s">
        <v>2</v>
      </c>
      <c r="X1" t="s">
        <v>13</v>
      </c>
      <c r="Y1" t="s">
        <v>6</v>
      </c>
      <c r="Z1" t="s">
        <v>25</v>
      </c>
      <c r="AA1" t="s">
        <v>26</v>
      </c>
      <c r="AB1" t="s">
        <v>27</v>
      </c>
      <c r="AC1" t="s">
        <v>35</v>
      </c>
      <c r="AD1" t="s">
        <v>66</v>
      </c>
    </row>
    <row r="2" spans="1:30" hidden="1" x14ac:dyDescent="0.55000000000000004">
      <c r="A2" t="s">
        <v>85</v>
      </c>
      <c r="B2" t="s">
        <v>86</v>
      </c>
      <c r="C2" t="s">
        <v>76</v>
      </c>
      <c r="D2" t="s">
        <v>76</v>
      </c>
      <c r="E2" t="s">
        <v>87</v>
      </c>
      <c r="F2" t="s">
        <v>36</v>
      </c>
      <c r="G2" t="s">
        <v>78</v>
      </c>
      <c r="H2" t="s">
        <v>30</v>
      </c>
      <c r="I2" t="s">
        <v>37</v>
      </c>
      <c r="J2" t="s">
        <v>38</v>
      </c>
      <c r="K2" t="s">
        <v>40</v>
      </c>
      <c r="L2" t="s">
        <v>88</v>
      </c>
      <c r="M2" t="s">
        <v>88</v>
      </c>
      <c r="N2" t="s">
        <v>89</v>
      </c>
      <c r="O2">
        <v>0</v>
      </c>
      <c r="P2" t="b">
        <v>1</v>
      </c>
      <c r="Q2" s="3">
        <v>45309</v>
      </c>
      <c r="R2" t="s">
        <v>90</v>
      </c>
      <c r="S2" t="s">
        <v>91</v>
      </c>
      <c r="T2" t="s">
        <v>28</v>
      </c>
      <c r="U2" t="s">
        <v>92</v>
      </c>
      <c r="V2" t="s">
        <v>29</v>
      </c>
      <c r="W2" t="b">
        <v>0</v>
      </c>
      <c r="X2">
        <v>0</v>
      </c>
      <c r="Y2">
        <v>0</v>
      </c>
      <c r="Z2">
        <v>0</v>
      </c>
      <c r="AA2">
        <v>0</v>
      </c>
      <c r="AB2">
        <v>0</v>
      </c>
      <c r="AC2" t="s">
        <v>93</v>
      </c>
      <c r="AD2" t="s">
        <v>86</v>
      </c>
    </row>
    <row r="3" spans="1:30" hidden="1" x14ac:dyDescent="0.55000000000000004">
      <c r="A3" t="s">
        <v>74</v>
      </c>
      <c r="B3" t="s">
        <v>75</v>
      </c>
      <c r="C3" t="s">
        <v>76</v>
      </c>
      <c r="D3" t="s">
        <v>76</v>
      </c>
      <c r="E3" t="s">
        <v>77</v>
      </c>
      <c r="F3" t="s">
        <v>36</v>
      </c>
      <c r="G3" t="s">
        <v>78</v>
      </c>
      <c r="H3" t="s">
        <v>30</v>
      </c>
      <c r="I3" t="s">
        <v>37</v>
      </c>
      <c r="J3" t="s">
        <v>38</v>
      </c>
      <c r="K3" t="s">
        <v>40</v>
      </c>
      <c r="L3" t="s">
        <v>79</v>
      </c>
      <c r="M3" t="s">
        <v>79</v>
      </c>
      <c r="N3" t="s">
        <v>80</v>
      </c>
      <c r="O3">
        <v>0</v>
      </c>
      <c r="P3" t="b">
        <v>1</v>
      </c>
      <c r="Q3" s="3">
        <v>45309</v>
      </c>
      <c r="R3" t="s">
        <v>81</v>
      </c>
      <c r="S3" t="s">
        <v>82</v>
      </c>
      <c r="T3" t="s">
        <v>28</v>
      </c>
      <c r="U3" t="s">
        <v>83</v>
      </c>
      <c r="V3" t="s">
        <v>29</v>
      </c>
      <c r="W3" t="b">
        <v>0</v>
      </c>
      <c r="X3">
        <v>0</v>
      </c>
      <c r="Y3">
        <v>0</v>
      </c>
      <c r="Z3">
        <v>0</v>
      </c>
      <c r="AA3">
        <v>0</v>
      </c>
      <c r="AB3">
        <v>0</v>
      </c>
      <c r="AC3" t="s">
        <v>84</v>
      </c>
      <c r="AD3" t="s">
        <v>75</v>
      </c>
    </row>
    <row r="4" spans="1:30" hidden="1" x14ac:dyDescent="0.55000000000000004">
      <c r="A4" t="s">
        <v>55</v>
      </c>
      <c r="B4" t="s">
        <v>56</v>
      </c>
      <c r="C4" t="s">
        <v>57</v>
      </c>
      <c r="D4" t="s">
        <v>57</v>
      </c>
      <c r="E4" t="s">
        <v>58</v>
      </c>
      <c r="F4" t="s">
        <v>59</v>
      </c>
      <c r="G4" t="s">
        <v>42</v>
      </c>
      <c r="H4" t="s">
        <v>30</v>
      </c>
      <c r="I4" t="s">
        <v>60</v>
      </c>
      <c r="J4" t="s">
        <v>61</v>
      </c>
      <c r="K4" t="s">
        <v>32</v>
      </c>
      <c r="L4" t="s">
        <v>62</v>
      </c>
      <c r="M4" t="s">
        <v>62</v>
      </c>
      <c r="N4" t="s">
        <v>63</v>
      </c>
      <c r="O4">
        <v>0.67500000000000004</v>
      </c>
      <c r="P4" t="b">
        <v>0</v>
      </c>
      <c r="Q4" s="3">
        <v>45308</v>
      </c>
      <c r="R4" t="s">
        <v>71</v>
      </c>
      <c r="S4" t="s">
        <v>72</v>
      </c>
      <c r="T4" t="s">
        <v>28</v>
      </c>
      <c r="U4" t="s">
        <v>64</v>
      </c>
      <c r="V4" t="s">
        <v>29</v>
      </c>
      <c r="W4" t="b">
        <v>0</v>
      </c>
      <c r="X4">
        <v>0</v>
      </c>
      <c r="Y4">
        <v>0</v>
      </c>
      <c r="Z4">
        <v>0</v>
      </c>
      <c r="AA4">
        <v>0</v>
      </c>
      <c r="AB4">
        <v>0</v>
      </c>
      <c r="AC4" t="s">
        <v>73</v>
      </c>
      <c r="AD4" t="s">
        <v>56</v>
      </c>
    </row>
    <row r="5" spans="1:30" hidden="1" x14ac:dyDescent="0.55000000000000004">
      <c r="A5" t="s">
        <v>43</v>
      </c>
      <c r="B5" t="s">
        <v>44</v>
      </c>
      <c r="C5" t="s">
        <v>45</v>
      </c>
      <c r="D5" t="s">
        <v>45</v>
      </c>
      <c r="E5" t="s">
        <v>46</v>
      </c>
      <c r="F5" t="s">
        <v>41</v>
      </c>
      <c r="G5" t="s">
        <v>39</v>
      </c>
      <c r="H5" t="s">
        <v>30</v>
      </c>
      <c r="I5" t="s">
        <v>47</v>
      </c>
      <c r="J5" t="s">
        <v>48</v>
      </c>
      <c r="K5" t="s">
        <v>31</v>
      </c>
      <c r="L5" t="s">
        <v>49</v>
      </c>
      <c r="M5" t="s">
        <v>49</v>
      </c>
      <c r="N5" t="s">
        <v>50</v>
      </c>
      <c r="O5">
        <v>0.96799999999999997</v>
      </c>
      <c r="P5" t="b">
        <v>1</v>
      </c>
      <c r="Q5" s="3">
        <v>45307</v>
      </c>
      <c r="R5" t="s">
        <v>51</v>
      </c>
      <c r="S5" t="s">
        <v>52</v>
      </c>
      <c r="T5" t="s">
        <v>28</v>
      </c>
      <c r="U5" t="s">
        <v>53</v>
      </c>
      <c r="V5" t="s">
        <v>29</v>
      </c>
      <c r="W5" t="b">
        <v>0</v>
      </c>
      <c r="X5">
        <v>0</v>
      </c>
      <c r="Y5">
        <v>0</v>
      </c>
      <c r="Z5">
        <v>0</v>
      </c>
      <c r="AA5">
        <v>0</v>
      </c>
      <c r="AB5">
        <v>0</v>
      </c>
      <c r="AC5" t="s">
        <v>54</v>
      </c>
      <c r="AD5" t="s">
        <v>44</v>
      </c>
    </row>
    <row r="6" spans="1:30" hidden="1" x14ac:dyDescent="0.55000000000000004">
      <c r="A6" t="s">
        <v>223</v>
      </c>
      <c r="B6" t="s">
        <v>224</v>
      </c>
      <c r="C6" t="s">
        <v>225</v>
      </c>
      <c r="D6" t="s">
        <v>225</v>
      </c>
      <c r="E6" t="s">
        <v>226</v>
      </c>
      <c r="F6" t="s">
        <v>227</v>
      </c>
      <c r="G6" t="s">
        <v>126</v>
      </c>
      <c r="H6" t="s">
        <v>30</v>
      </c>
      <c r="I6" t="s">
        <v>228</v>
      </c>
      <c r="J6" t="s">
        <v>229</v>
      </c>
      <c r="K6" t="s">
        <v>230</v>
      </c>
      <c r="L6" t="s">
        <v>231</v>
      </c>
      <c r="M6" t="s">
        <v>231</v>
      </c>
      <c r="N6" t="s">
        <v>232</v>
      </c>
      <c r="O6">
        <v>0.93</v>
      </c>
      <c r="P6" t="b">
        <v>1</v>
      </c>
      <c r="Q6" s="3">
        <v>45299</v>
      </c>
      <c r="R6" t="s">
        <v>233</v>
      </c>
      <c r="S6" t="s">
        <v>234</v>
      </c>
      <c r="T6" t="s">
        <v>28</v>
      </c>
      <c r="U6" t="s">
        <v>235</v>
      </c>
      <c r="V6" t="s">
        <v>29</v>
      </c>
      <c r="W6" t="b">
        <v>0</v>
      </c>
      <c r="X6">
        <v>0</v>
      </c>
      <c r="Y6">
        <v>0</v>
      </c>
      <c r="Z6">
        <v>0</v>
      </c>
      <c r="AA6">
        <v>0</v>
      </c>
      <c r="AB6">
        <v>0</v>
      </c>
      <c r="AC6" t="s">
        <v>236</v>
      </c>
      <c r="AD6" t="s">
        <v>224</v>
      </c>
    </row>
    <row r="7" spans="1:30" hidden="1" x14ac:dyDescent="0.55000000000000004">
      <c r="A7" t="s">
        <v>297</v>
      </c>
      <c r="B7" t="s">
        <v>298</v>
      </c>
      <c r="C7" t="s">
        <v>153</v>
      </c>
      <c r="D7" t="s">
        <v>153</v>
      </c>
      <c r="E7" t="s">
        <v>299</v>
      </c>
      <c r="F7" t="s">
        <v>36</v>
      </c>
      <c r="G7" t="s">
        <v>300</v>
      </c>
      <c r="H7" t="s">
        <v>30</v>
      </c>
      <c r="I7" t="s">
        <v>37</v>
      </c>
      <c r="J7" t="s">
        <v>38</v>
      </c>
      <c r="K7" t="s">
        <v>144</v>
      </c>
      <c r="L7" t="s">
        <v>301</v>
      </c>
      <c r="M7" t="s">
        <v>301</v>
      </c>
      <c r="N7" t="s">
        <v>302</v>
      </c>
      <c r="O7">
        <v>0.21</v>
      </c>
      <c r="P7" t="b">
        <v>1</v>
      </c>
      <c r="Q7" s="3">
        <v>45299</v>
      </c>
      <c r="R7" t="s">
        <v>303</v>
      </c>
      <c r="S7" t="s">
        <v>304</v>
      </c>
      <c r="T7" t="s">
        <v>28</v>
      </c>
      <c r="U7" t="s">
        <v>305</v>
      </c>
      <c r="V7" t="s">
        <v>29</v>
      </c>
      <c r="W7" t="b">
        <v>0</v>
      </c>
      <c r="X7">
        <v>0</v>
      </c>
      <c r="Y7">
        <v>0</v>
      </c>
      <c r="Z7">
        <v>0</v>
      </c>
      <c r="AA7">
        <v>0</v>
      </c>
      <c r="AB7">
        <v>0</v>
      </c>
      <c r="AC7" t="s">
        <v>306</v>
      </c>
      <c r="AD7" t="s">
        <v>298</v>
      </c>
    </row>
    <row r="8" spans="1:30" hidden="1" x14ac:dyDescent="0.55000000000000004">
      <c r="A8" t="s">
        <v>307</v>
      </c>
      <c r="B8" t="s">
        <v>308</v>
      </c>
      <c r="C8" t="s">
        <v>360</v>
      </c>
      <c r="D8" t="s">
        <v>360</v>
      </c>
      <c r="E8" t="s">
        <v>309</v>
      </c>
      <c r="F8" t="s">
        <v>227</v>
      </c>
      <c r="G8" t="s">
        <v>148</v>
      </c>
      <c r="H8" t="s">
        <v>30</v>
      </c>
      <c r="I8" t="s">
        <v>310</v>
      </c>
      <c r="J8" t="s">
        <v>311</v>
      </c>
      <c r="K8" t="s">
        <v>312</v>
      </c>
      <c r="L8" t="s">
        <v>313</v>
      </c>
      <c r="M8" t="s">
        <v>313</v>
      </c>
      <c r="N8" t="s">
        <v>314</v>
      </c>
      <c r="O8">
        <v>0.91100000000000003</v>
      </c>
      <c r="P8" t="b">
        <v>1</v>
      </c>
      <c r="Q8" s="3">
        <v>45293</v>
      </c>
      <c r="R8" t="s">
        <v>315</v>
      </c>
      <c r="S8" t="s">
        <v>316</v>
      </c>
      <c r="T8" t="s">
        <v>28</v>
      </c>
      <c r="U8" t="s">
        <v>317</v>
      </c>
      <c r="V8" t="s">
        <v>29</v>
      </c>
      <c r="W8" t="b">
        <v>0</v>
      </c>
      <c r="X8">
        <v>0</v>
      </c>
      <c r="Y8">
        <v>0</v>
      </c>
      <c r="Z8">
        <v>0</v>
      </c>
      <c r="AA8">
        <v>0</v>
      </c>
      <c r="AB8">
        <v>0</v>
      </c>
      <c r="AC8" t="s">
        <v>318</v>
      </c>
      <c r="AD8" t="s">
        <v>308</v>
      </c>
    </row>
    <row r="9" spans="1:30" hidden="1" x14ac:dyDescent="0.55000000000000004">
      <c r="A9" t="s">
        <v>250</v>
      </c>
      <c r="B9" t="s">
        <v>251</v>
      </c>
      <c r="C9" t="s">
        <v>252</v>
      </c>
      <c r="D9" t="s">
        <v>252</v>
      </c>
      <c r="E9" t="s">
        <v>253</v>
      </c>
      <c r="F9" t="s">
        <v>150</v>
      </c>
      <c r="G9" t="s">
        <v>39</v>
      </c>
      <c r="H9" t="s">
        <v>30</v>
      </c>
      <c r="I9" t="s">
        <v>152</v>
      </c>
      <c r="J9" t="s">
        <v>195</v>
      </c>
      <c r="K9" t="s">
        <v>165</v>
      </c>
      <c r="L9" t="s">
        <v>254</v>
      </c>
      <c r="M9" t="s">
        <v>254</v>
      </c>
      <c r="N9" t="s">
        <v>255</v>
      </c>
      <c r="O9">
        <v>0.92100000000000004</v>
      </c>
      <c r="P9" t="b">
        <v>1</v>
      </c>
      <c r="Q9" s="3">
        <v>45292</v>
      </c>
      <c r="R9" t="s">
        <v>256</v>
      </c>
      <c r="S9" t="s">
        <v>257</v>
      </c>
      <c r="T9" t="s">
        <v>28</v>
      </c>
      <c r="U9" t="s">
        <v>258</v>
      </c>
      <c r="V9" t="s">
        <v>29</v>
      </c>
      <c r="W9" t="b">
        <v>0</v>
      </c>
      <c r="X9">
        <v>0</v>
      </c>
      <c r="Y9">
        <v>0</v>
      </c>
      <c r="Z9">
        <v>0</v>
      </c>
      <c r="AA9">
        <v>0</v>
      </c>
      <c r="AB9">
        <v>0</v>
      </c>
      <c r="AC9" t="s">
        <v>259</v>
      </c>
      <c r="AD9" t="s">
        <v>251</v>
      </c>
    </row>
    <row r="10" spans="1:30" hidden="1" x14ac:dyDescent="0.55000000000000004">
      <c r="A10" t="s">
        <v>332</v>
      </c>
      <c r="B10" t="s">
        <v>333</v>
      </c>
      <c r="C10" t="s">
        <v>334</v>
      </c>
      <c r="D10" t="s">
        <v>334</v>
      </c>
      <c r="E10" t="s">
        <v>335</v>
      </c>
      <c r="F10" t="s">
        <v>123</v>
      </c>
      <c r="G10" t="s">
        <v>336</v>
      </c>
      <c r="H10" t="s">
        <v>30</v>
      </c>
      <c r="I10" t="s">
        <v>124</v>
      </c>
      <c r="J10" t="s">
        <v>125</v>
      </c>
      <c r="K10" t="s">
        <v>337</v>
      </c>
      <c r="L10" t="s">
        <v>338</v>
      </c>
      <c r="M10" t="s">
        <v>338</v>
      </c>
      <c r="N10" t="s">
        <v>339</v>
      </c>
      <c r="O10">
        <v>0.92400000000000004</v>
      </c>
      <c r="P10" t="b">
        <v>1</v>
      </c>
      <c r="Q10" s="3">
        <v>45285</v>
      </c>
      <c r="R10" t="s">
        <v>340</v>
      </c>
      <c r="S10" t="s">
        <v>341</v>
      </c>
      <c r="T10" t="s">
        <v>28</v>
      </c>
      <c r="U10" t="s">
        <v>342</v>
      </c>
      <c r="V10" t="s">
        <v>2</v>
      </c>
      <c r="W10" t="b">
        <v>1</v>
      </c>
      <c r="X10">
        <v>0</v>
      </c>
      <c r="Y10">
        <v>0</v>
      </c>
      <c r="Z10">
        <v>0</v>
      </c>
      <c r="AA10">
        <v>0</v>
      </c>
      <c r="AB10">
        <v>0</v>
      </c>
      <c r="AC10" t="s">
        <v>343</v>
      </c>
      <c r="AD10" t="s">
        <v>333</v>
      </c>
    </row>
    <row r="11" spans="1:30" hidden="1" x14ac:dyDescent="0.55000000000000004">
      <c r="A11" t="s">
        <v>283</v>
      </c>
      <c r="B11" t="s">
        <v>284</v>
      </c>
      <c r="C11" t="s">
        <v>285</v>
      </c>
      <c r="D11" t="s">
        <v>285</v>
      </c>
      <c r="E11" t="s">
        <v>286</v>
      </c>
      <c r="F11" t="s">
        <v>287</v>
      </c>
      <c r="G11" t="s">
        <v>151</v>
      </c>
      <c r="H11" t="s">
        <v>30</v>
      </c>
      <c r="I11" t="s">
        <v>288</v>
      </c>
      <c r="J11" t="s">
        <v>289</v>
      </c>
      <c r="K11" t="s">
        <v>290</v>
      </c>
      <c r="L11" t="s">
        <v>291</v>
      </c>
      <c r="M11" t="s">
        <v>291</v>
      </c>
      <c r="N11" t="s">
        <v>292</v>
      </c>
      <c r="O11">
        <v>0.91800000000000004</v>
      </c>
      <c r="P11" t="b">
        <v>1</v>
      </c>
      <c r="Q11" s="3">
        <v>45280</v>
      </c>
      <c r="R11" t="s">
        <v>293</v>
      </c>
      <c r="S11" t="s">
        <v>294</v>
      </c>
      <c r="T11" t="s">
        <v>28</v>
      </c>
      <c r="U11" t="s">
        <v>295</v>
      </c>
      <c r="V11" t="s">
        <v>29</v>
      </c>
      <c r="W11" t="b">
        <v>0</v>
      </c>
      <c r="X11">
        <v>0</v>
      </c>
      <c r="Y11">
        <v>0</v>
      </c>
      <c r="Z11">
        <v>0</v>
      </c>
      <c r="AA11">
        <v>0</v>
      </c>
      <c r="AB11">
        <v>0</v>
      </c>
      <c r="AC11" t="s">
        <v>296</v>
      </c>
      <c r="AD11" t="s">
        <v>284</v>
      </c>
    </row>
    <row r="12" spans="1:30" hidden="1" x14ac:dyDescent="0.55000000000000004">
      <c r="A12" t="s">
        <v>273</v>
      </c>
      <c r="B12" t="s">
        <v>274</v>
      </c>
      <c r="C12" t="s">
        <v>193</v>
      </c>
      <c r="D12" t="s">
        <v>193</v>
      </c>
      <c r="E12" t="s">
        <v>275</v>
      </c>
      <c r="F12" t="s">
        <v>36</v>
      </c>
      <c r="G12" t="s">
        <v>276</v>
      </c>
      <c r="H12" t="s">
        <v>30</v>
      </c>
      <c r="I12" t="s">
        <v>37</v>
      </c>
      <c r="J12" t="s">
        <v>38</v>
      </c>
      <c r="K12" t="s">
        <v>194</v>
      </c>
      <c r="L12" t="s">
        <v>277</v>
      </c>
      <c r="M12" t="s">
        <v>277</v>
      </c>
      <c r="N12" t="s">
        <v>278</v>
      </c>
      <c r="O12">
        <v>0.89100000000000001</v>
      </c>
      <c r="P12" t="b">
        <v>1</v>
      </c>
      <c r="Q12" s="3">
        <v>45279</v>
      </c>
      <c r="R12" t="s">
        <v>279</v>
      </c>
      <c r="S12" t="s">
        <v>280</v>
      </c>
      <c r="T12" t="s">
        <v>28</v>
      </c>
      <c r="U12" t="s">
        <v>281</v>
      </c>
      <c r="V12" t="s">
        <v>29</v>
      </c>
      <c r="W12" t="b">
        <v>0</v>
      </c>
      <c r="X12">
        <v>0</v>
      </c>
      <c r="Y12">
        <v>0</v>
      </c>
      <c r="Z12">
        <v>0</v>
      </c>
      <c r="AA12">
        <v>0</v>
      </c>
      <c r="AB12">
        <v>0</v>
      </c>
      <c r="AC12" t="s">
        <v>282</v>
      </c>
      <c r="AD12" t="s">
        <v>274</v>
      </c>
    </row>
    <row r="13" spans="1:30" hidden="1" x14ac:dyDescent="0.55000000000000004">
      <c r="A13" t="s">
        <v>154</v>
      </c>
      <c r="B13" t="s">
        <v>155</v>
      </c>
      <c r="C13" t="s">
        <v>156</v>
      </c>
      <c r="D13" t="s">
        <v>156</v>
      </c>
      <c r="E13" t="s">
        <v>157</v>
      </c>
      <c r="F13" t="s">
        <v>132</v>
      </c>
      <c r="G13" t="s">
        <v>158</v>
      </c>
      <c r="H13" t="s">
        <v>30</v>
      </c>
      <c r="I13" t="s">
        <v>134</v>
      </c>
      <c r="J13" t="s">
        <v>135</v>
      </c>
      <c r="K13" t="s">
        <v>136</v>
      </c>
      <c r="L13" t="s">
        <v>159</v>
      </c>
      <c r="M13" t="s">
        <v>159</v>
      </c>
      <c r="N13" t="s">
        <v>160</v>
      </c>
      <c r="O13">
        <v>0.91</v>
      </c>
      <c r="P13" t="b">
        <v>1</v>
      </c>
      <c r="Q13" s="3">
        <v>45279</v>
      </c>
      <c r="R13" t="s">
        <v>161</v>
      </c>
      <c r="S13" t="s">
        <v>162</v>
      </c>
      <c r="T13" t="s">
        <v>28</v>
      </c>
      <c r="U13" t="s">
        <v>163</v>
      </c>
      <c r="V13" t="s">
        <v>2</v>
      </c>
      <c r="W13" t="b">
        <v>1</v>
      </c>
      <c r="X13">
        <v>0</v>
      </c>
      <c r="Y13">
        <v>0</v>
      </c>
      <c r="Z13">
        <v>0</v>
      </c>
      <c r="AA13">
        <v>0</v>
      </c>
      <c r="AB13">
        <v>0</v>
      </c>
      <c r="AC13" t="s">
        <v>164</v>
      </c>
      <c r="AD13" t="s">
        <v>155</v>
      </c>
    </row>
    <row r="14" spans="1:30" hidden="1" x14ac:dyDescent="0.55000000000000004">
      <c r="A14" t="s">
        <v>260</v>
      </c>
      <c r="B14" t="s">
        <v>261</v>
      </c>
      <c r="C14" t="s">
        <v>262</v>
      </c>
      <c r="D14" t="s">
        <v>262</v>
      </c>
      <c r="E14" t="s">
        <v>263</v>
      </c>
      <c r="F14" t="s">
        <v>264</v>
      </c>
      <c r="G14" t="s">
        <v>178</v>
      </c>
      <c r="H14" t="s">
        <v>30</v>
      </c>
      <c r="I14" t="s">
        <v>265</v>
      </c>
      <c r="J14" t="s">
        <v>266</v>
      </c>
      <c r="K14" t="s">
        <v>149</v>
      </c>
      <c r="L14" t="s">
        <v>267</v>
      </c>
      <c r="M14" t="s">
        <v>267</v>
      </c>
      <c r="N14" t="s">
        <v>268</v>
      </c>
      <c r="O14">
        <v>0.92</v>
      </c>
      <c r="P14" t="b">
        <v>0</v>
      </c>
      <c r="Q14" s="3">
        <v>45278</v>
      </c>
      <c r="R14" t="s">
        <v>269</v>
      </c>
      <c r="S14" t="s">
        <v>270</v>
      </c>
      <c r="T14" t="s">
        <v>28</v>
      </c>
      <c r="U14" t="s">
        <v>271</v>
      </c>
      <c r="V14" t="s">
        <v>29</v>
      </c>
      <c r="W14" t="b">
        <v>0</v>
      </c>
      <c r="X14">
        <v>0</v>
      </c>
      <c r="Y14">
        <v>0</v>
      </c>
      <c r="Z14">
        <v>0</v>
      </c>
      <c r="AA14">
        <v>0</v>
      </c>
      <c r="AB14">
        <v>0</v>
      </c>
      <c r="AC14" t="s">
        <v>272</v>
      </c>
      <c r="AD14" t="s">
        <v>261</v>
      </c>
    </row>
    <row r="15" spans="1:30" hidden="1" x14ac:dyDescent="0.55000000000000004">
      <c r="A15" t="s">
        <v>237</v>
      </c>
      <c r="B15" t="s">
        <v>238</v>
      </c>
      <c r="C15" t="s">
        <v>239</v>
      </c>
      <c r="D15" t="s">
        <v>239</v>
      </c>
      <c r="E15" t="s">
        <v>240</v>
      </c>
      <c r="F15" t="s">
        <v>241</v>
      </c>
      <c r="G15" t="s">
        <v>127</v>
      </c>
      <c r="H15" t="s">
        <v>30</v>
      </c>
      <c r="I15" t="s">
        <v>242</v>
      </c>
      <c r="J15" t="s">
        <v>243</v>
      </c>
      <c r="K15" t="s">
        <v>145</v>
      </c>
      <c r="L15" t="s">
        <v>244</v>
      </c>
      <c r="M15" t="s">
        <v>244</v>
      </c>
      <c r="N15" t="s">
        <v>245</v>
      </c>
      <c r="O15">
        <v>0.88800000000000001</v>
      </c>
      <c r="P15" t="b">
        <v>1</v>
      </c>
      <c r="Q15" s="3">
        <v>45273</v>
      </c>
      <c r="R15" t="s">
        <v>246</v>
      </c>
      <c r="S15" t="s">
        <v>247</v>
      </c>
      <c r="T15" t="s">
        <v>28</v>
      </c>
      <c r="U15" t="s">
        <v>248</v>
      </c>
      <c r="V15" t="s">
        <v>29</v>
      </c>
      <c r="W15" t="b">
        <v>0</v>
      </c>
      <c r="X15">
        <v>0</v>
      </c>
      <c r="Y15">
        <v>0</v>
      </c>
      <c r="Z15">
        <v>0</v>
      </c>
      <c r="AA15">
        <v>0</v>
      </c>
      <c r="AB15">
        <v>0</v>
      </c>
      <c r="AC15" t="s">
        <v>249</v>
      </c>
      <c r="AD15" t="s">
        <v>238</v>
      </c>
    </row>
    <row r="16" spans="1:30" hidden="1" x14ac:dyDescent="0.55000000000000004">
      <c r="A16" t="s">
        <v>319</v>
      </c>
      <c r="B16" t="s">
        <v>320</v>
      </c>
      <c r="C16" t="s">
        <v>321</v>
      </c>
      <c r="D16" t="s">
        <v>321</v>
      </c>
      <c r="E16" t="s">
        <v>361</v>
      </c>
      <c r="F16" t="s">
        <v>322</v>
      </c>
      <c r="G16" t="s">
        <v>323</v>
      </c>
      <c r="H16" t="s">
        <v>30</v>
      </c>
      <c r="I16" t="s">
        <v>324</v>
      </c>
      <c r="J16" t="s">
        <v>325</v>
      </c>
      <c r="K16" t="s">
        <v>32</v>
      </c>
      <c r="L16" t="s">
        <v>326</v>
      </c>
      <c r="M16" t="s">
        <v>326</v>
      </c>
      <c r="N16" t="s">
        <v>327</v>
      </c>
      <c r="O16">
        <v>0.77400000000000002</v>
      </c>
      <c r="P16" t="b">
        <v>0</v>
      </c>
      <c r="Q16" s="3">
        <v>45273</v>
      </c>
      <c r="R16" t="s">
        <v>328</v>
      </c>
      <c r="S16" t="s">
        <v>329</v>
      </c>
      <c r="T16" t="s">
        <v>33</v>
      </c>
      <c r="U16" t="s">
        <v>330</v>
      </c>
      <c r="V16" t="s">
        <v>29</v>
      </c>
      <c r="W16" t="b">
        <v>0</v>
      </c>
      <c r="X16">
        <v>0</v>
      </c>
      <c r="Y16">
        <v>0</v>
      </c>
      <c r="Z16">
        <v>0</v>
      </c>
      <c r="AA16">
        <v>0</v>
      </c>
      <c r="AB16">
        <v>0</v>
      </c>
      <c r="AC16" t="s">
        <v>331</v>
      </c>
      <c r="AD16" t="s">
        <v>320</v>
      </c>
    </row>
    <row r="17" spans="1:30" hidden="1" x14ac:dyDescent="0.55000000000000004">
      <c r="A17" t="s">
        <v>166</v>
      </c>
      <c r="B17" t="s">
        <v>167</v>
      </c>
      <c r="C17" t="s">
        <v>168</v>
      </c>
      <c r="D17" t="s">
        <v>168</v>
      </c>
      <c r="E17" t="s">
        <v>169</v>
      </c>
      <c r="F17" t="s">
        <v>146</v>
      </c>
      <c r="G17" t="s">
        <v>42</v>
      </c>
      <c r="H17" t="s">
        <v>30</v>
      </c>
      <c r="I17" t="s">
        <v>170</v>
      </c>
      <c r="J17" t="s">
        <v>171</v>
      </c>
      <c r="K17" t="s">
        <v>32</v>
      </c>
      <c r="L17" t="s">
        <v>172</v>
      </c>
      <c r="M17" t="s">
        <v>172</v>
      </c>
      <c r="N17" t="s">
        <v>173</v>
      </c>
      <c r="O17">
        <v>0.76100000000000001</v>
      </c>
      <c r="P17" t="b">
        <v>0</v>
      </c>
      <c r="Q17" s="3">
        <v>45272</v>
      </c>
      <c r="R17" t="s">
        <v>174</v>
      </c>
      <c r="S17" t="s">
        <v>175</v>
      </c>
      <c r="T17" t="s">
        <v>33</v>
      </c>
      <c r="U17" t="s">
        <v>176</v>
      </c>
      <c r="V17" t="s">
        <v>29</v>
      </c>
      <c r="W17" t="b">
        <v>0</v>
      </c>
      <c r="X17">
        <v>0</v>
      </c>
      <c r="Y17">
        <v>0</v>
      </c>
      <c r="Z17">
        <v>0</v>
      </c>
      <c r="AA17">
        <v>0</v>
      </c>
      <c r="AB17">
        <v>0</v>
      </c>
      <c r="AC17" t="s">
        <v>177</v>
      </c>
      <c r="AD17" t="s">
        <v>167</v>
      </c>
    </row>
    <row r="18" spans="1:30" hidden="1" x14ac:dyDescent="0.55000000000000004">
      <c r="A18" t="s">
        <v>180</v>
      </c>
      <c r="B18" t="s">
        <v>181</v>
      </c>
      <c r="C18" t="s">
        <v>182</v>
      </c>
      <c r="D18" t="s">
        <v>182</v>
      </c>
      <c r="E18" t="s">
        <v>183</v>
      </c>
      <c r="F18" t="s">
        <v>179</v>
      </c>
      <c r="G18" t="s">
        <v>184</v>
      </c>
      <c r="H18" t="s">
        <v>30</v>
      </c>
      <c r="I18" t="s">
        <v>185</v>
      </c>
      <c r="J18" t="s">
        <v>186</v>
      </c>
      <c r="K18" t="s">
        <v>147</v>
      </c>
      <c r="L18" t="s">
        <v>187</v>
      </c>
      <c r="M18" t="s">
        <v>187</v>
      </c>
      <c r="N18" t="s">
        <v>188</v>
      </c>
      <c r="O18">
        <v>0.89800000000000002</v>
      </c>
      <c r="P18" t="b">
        <v>1</v>
      </c>
      <c r="Q18" s="3">
        <v>45270</v>
      </c>
      <c r="R18" t="s">
        <v>189</v>
      </c>
      <c r="S18" t="s">
        <v>190</v>
      </c>
      <c r="T18" t="s">
        <v>28</v>
      </c>
      <c r="U18" t="s">
        <v>191</v>
      </c>
      <c r="V18" t="s">
        <v>2</v>
      </c>
      <c r="W18" t="b">
        <v>1</v>
      </c>
      <c r="X18">
        <v>0</v>
      </c>
      <c r="Y18">
        <v>0</v>
      </c>
      <c r="Z18">
        <v>0</v>
      </c>
      <c r="AA18">
        <v>0</v>
      </c>
      <c r="AB18">
        <v>0</v>
      </c>
      <c r="AC18" t="s">
        <v>192</v>
      </c>
      <c r="AD18" t="s">
        <v>181</v>
      </c>
    </row>
    <row r="19" spans="1:30" hidden="1" x14ac:dyDescent="0.55000000000000004">
      <c r="A19" t="s">
        <v>196</v>
      </c>
      <c r="B19" t="s">
        <v>197</v>
      </c>
      <c r="C19" t="s">
        <v>198</v>
      </c>
      <c r="D19" t="s">
        <v>198</v>
      </c>
      <c r="E19" t="s">
        <v>199</v>
      </c>
      <c r="F19" t="s">
        <v>200</v>
      </c>
      <c r="G19" t="s">
        <v>201</v>
      </c>
      <c r="H19" t="s">
        <v>30</v>
      </c>
      <c r="I19" t="s">
        <v>202</v>
      </c>
      <c r="J19" t="s">
        <v>203</v>
      </c>
      <c r="K19" t="s">
        <v>34</v>
      </c>
      <c r="L19" t="s">
        <v>204</v>
      </c>
      <c r="M19" t="s">
        <v>204</v>
      </c>
      <c r="N19" t="s">
        <v>205</v>
      </c>
      <c r="O19">
        <v>0.89900000000000002</v>
      </c>
      <c r="P19" t="b">
        <v>0</v>
      </c>
      <c r="Q19" s="3">
        <v>45267</v>
      </c>
      <c r="R19" t="s">
        <v>206</v>
      </c>
      <c r="S19" t="s">
        <v>207</v>
      </c>
      <c r="T19" t="s">
        <v>28</v>
      </c>
      <c r="U19" t="s">
        <v>208</v>
      </c>
      <c r="V19" t="s">
        <v>2</v>
      </c>
      <c r="W19" t="b">
        <v>1</v>
      </c>
      <c r="X19">
        <v>0</v>
      </c>
      <c r="Y19">
        <v>0</v>
      </c>
      <c r="Z19">
        <v>0</v>
      </c>
      <c r="AA19">
        <v>0</v>
      </c>
      <c r="AB19">
        <v>0</v>
      </c>
      <c r="AC19" t="s">
        <v>209</v>
      </c>
      <c r="AD19" t="s">
        <v>197</v>
      </c>
    </row>
    <row r="20" spans="1:30" hidden="1" x14ac:dyDescent="0.55000000000000004">
      <c r="A20" t="s">
        <v>128</v>
      </c>
      <c r="B20" t="s">
        <v>129</v>
      </c>
      <c r="C20" t="s">
        <v>130</v>
      </c>
      <c r="D20" t="s">
        <v>130</v>
      </c>
      <c r="E20" t="s">
        <v>131</v>
      </c>
      <c r="F20" t="s">
        <v>132</v>
      </c>
      <c r="G20" t="s">
        <v>133</v>
      </c>
      <c r="H20" t="s">
        <v>30</v>
      </c>
      <c r="I20" t="s">
        <v>134</v>
      </c>
      <c r="J20" t="s">
        <v>135</v>
      </c>
      <c r="K20" t="s">
        <v>136</v>
      </c>
      <c r="L20" t="s">
        <v>137</v>
      </c>
      <c r="M20" t="s">
        <v>137</v>
      </c>
      <c r="N20" t="s">
        <v>138</v>
      </c>
      <c r="O20">
        <v>0.95299999999999996</v>
      </c>
      <c r="P20" t="b">
        <v>1</v>
      </c>
      <c r="Q20" s="3">
        <v>45264</v>
      </c>
      <c r="R20" t="s">
        <v>139</v>
      </c>
      <c r="S20" t="s">
        <v>140</v>
      </c>
      <c r="T20" t="s">
        <v>28</v>
      </c>
      <c r="U20" t="s">
        <v>141</v>
      </c>
      <c r="V20" t="s">
        <v>2</v>
      </c>
      <c r="W20" t="b">
        <v>1</v>
      </c>
      <c r="X20">
        <v>0</v>
      </c>
      <c r="Y20">
        <v>0</v>
      </c>
      <c r="Z20">
        <v>0</v>
      </c>
      <c r="AA20">
        <v>0</v>
      </c>
      <c r="AB20">
        <v>0</v>
      </c>
      <c r="AC20" t="s">
        <v>142</v>
      </c>
      <c r="AD20" t="s">
        <v>129</v>
      </c>
    </row>
    <row r="21" spans="1:30" hidden="1" x14ac:dyDescent="0.55000000000000004">
      <c r="A21" t="s">
        <v>210</v>
      </c>
      <c r="B21" t="s">
        <v>211</v>
      </c>
      <c r="C21" t="s">
        <v>212</v>
      </c>
      <c r="D21" t="s">
        <v>212</v>
      </c>
      <c r="E21" t="s">
        <v>213</v>
      </c>
      <c r="F21" t="s">
        <v>214</v>
      </c>
      <c r="G21" t="s">
        <v>143</v>
      </c>
      <c r="H21" t="s">
        <v>30</v>
      </c>
      <c r="I21" t="s">
        <v>215</v>
      </c>
      <c r="J21" t="s">
        <v>216</v>
      </c>
      <c r="K21" t="s">
        <v>32</v>
      </c>
      <c r="L21" t="s">
        <v>217</v>
      </c>
      <c r="M21" t="s">
        <v>217</v>
      </c>
      <c r="N21" t="s">
        <v>218</v>
      </c>
      <c r="O21">
        <v>0.91300000000000003</v>
      </c>
      <c r="P21" t="b">
        <v>1</v>
      </c>
      <c r="Q21" s="3">
        <v>45245</v>
      </c>
      <c r="R21" t="s">
        <v>219</v>
      </c>
      <c r="S21" t="s">
        <v>220</v>
      </c>
      <c r="T21" t="s">
        <v>28</v>
      </c>
      <c r="U21" t="s">
        <v>221</v>
      </c>
      <c r="V21" t="s">
        <v>29</v>
      </c>
      <c r="W21" t="b">
        <v>0</v>
      </c>
      <c r="X21">
        <v>0</v>
      </c>
      <c r="Y21">
        <v>0</v>
      </c>
      <c r="Z21">
        <v>0</v>
      </c>
      <c r="AA21">
        <v>0</v>
      </c>
      <c r="AB21">
        <v>0</v>
      </c>
      <c r="AC21" t="s">
        <v>222</v>
      </c>
      <c r="AD21" t="s">
        <v>211</v>
      </c>
    </row>
  </sheetData>
  <phoneticPr fontId="5" type="noConversion"/>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38B3006FD390394DBC666790831B44FD" ma:contentTypeVersion="11" ma:contentTypeDescription="Create a new document." ma:contentTypeScope="" ma:versionID="9133d4262615f1a3d3ee4ea4f568baef">
  <xsd:schema xmlns:xsd="http://www.w3.org/2001/XMLSchema" xmlns:xs="http://www.w3.org/2001/XMLSchema" xmlns:p="http://schemas.microsoft.com/office/2006/metadata/properties" xmlns:ns3="afcecea6-653f-4ccf-985d-68268cf3b690" xmlns:ns4="cf3c6326-8f6e-4a8e-86de-9d5bab7ffb91" targetNamespace="http://schemas.microsoft.com/office/2006/metadata/properties" ma:root="true" ma:fieldsID="27b4da37dfb282fbc979600253d2f192" ns3:_="" ns4:_="">
    <xsd:import namespace="afcecea6-653f-4ccf-985d-68268cf3b690"/>
    <xsd:import namespace="cf3c6326-8f6e-4a8e-86de-9d5bab7ffb91"/>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EventHashCode" minOccurs="0"/>
                <xsd:element ref="ns4:MediaServiceGenerationTime"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fcecea6-653f-4ccf-985d-68268cf3b690"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f3c6326-8f6e-4a8e-86de-9d5bab7ffb91"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5.xml>�� 
</file>

<file path=customXml/itemProps1.xml><?xml version="1.0" encoding="utf-8"?>
<ds:datastoreItem xmlns:ds="http://schemas.openxmlformats.org/officeDocument/2006/customXml" ds:itemID="{52FA1E70-86A3-4A7B-8DE4-FB621A7F4101}">
  <ds:schemaRefs>
    <ds:schemaRef ds:uri="http://schemas.microsoft.com/PowerBIAddIn"/>
  </ds:schemaRefs>
</ds:datastoreItem>
</file>

<file path=customXml/itemProps2.xml><?xml version="1.0" encoding="utf-8"?>
<ds:datastoreItem xmlns:ds="http://schemas.openxmlformats.org/officeDocument/2006/customXml" ds:itemID="{51415628-E0AC-4B0F-BCAC-93F1942D51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fcecea6-653f-4ccf-985d-68268cf3b690"/>
    <ds:schemaRef ds:uri="cf3c6326-8f6e-4a8e-86de-9d5bab7ffb9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80544B8-C501-4FA0-BF63-62F9EF40D0FC}">
  <ds:schemaRefs>
    <ds:schemaRef ds:uri="http://schemas.microsoft.com/sharepoint/v3/contenttype/forms"/>
  </ds:schemaRefs>
</ds:datastoreItem>
</file>

<file path=customXml/itemProps4.xml><?xml version="1.0" encoding="utf-8"?>
<ds:datastoreItem xmlns:ds="http://schemas.openxmlformats.org/officeDocument/2006/customXml" ds:itemID="{5C2D8F22-370D-4767-9A49-08C210499A92}">
  <ds:schemaRefs>
    <ds:schemaRef ds:uri="http://purl.org/dc/elements/1.1/"/>
    <ds:schemaRef ds:uri="afcecea6-653f-4ccf-985d-68268cf3b690"/>
    <ds:schemaRef ds:uri="http://purl.org/dc/dcmitype/"/>
    <ds:schemaRef ds:uri="http://schemas.microsoft.com/office/infopath/2007/PartnerControls"/>
    <ds:schemaRef ds:uri="http://purl.org/dc/terms/"/>
    <ds:schemaRef ds:uri="http://www.w3.org/XML/1998/namespace"/>
    <ds:schemaRef ds:uri="http://schemas.microsoft.com/office/2006/documentManagement/types"/>
    <ds:schemaRef ds:uri="http://schemas.openxmlformats.org/package/2006/metadata/core-properties"/>
    <ds:schemaRef ds:uri="cf3c6326-8f6e-4a8e-86de-9d5bab7ffb91"/>
    <ds:schemaRef ds:uri="http://schemas.microsoft.com/office/2006/metadata/properties"/>
  </ds:schemaRefs>
</ds:datastoreItem>
</file>

<file path=customXml/itemProps5.xml><?xml version="1.0" encoding="utf-8"?>
<ds:datastoreItem xmlns:ds="http://schemas.openxmlformats.org/officeDocument/2006/customXml" ds:itemID="{256293FC-AE00-49BE-B250-8ED60F69243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Start Here</vt:lpstr>
      <vt:lpstr>Mode</vt:lpstr>
      <vt:lpstr>Visuals Summary</vt:lpstr>
      <vt:lpstr>Custom Visuals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Gil Raviv</dc:creator>
  <cp:lastModifiedBy>Gil Raviv</cp:lastModifiedBy>
  <dcterms:created xsi:type="dcterms:W3CDTF">2017-09-15T02:42:24Z</dcterms:created>
  <dcterms:modified xsi:type="dcterms:W3CDTF">2024-01-21T02:53:24Z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36020b0-6d69-48c1-9bb5-c586c1062b70_Enabled">
    <vt:lpwstr>True</vt:lpwstr>
  </property>
  <property fmtid="{D5CDD505-2E9C-101B-9397-08002B2CF9AE}" pid="3" name="MSIP_Label_236020b0-6d69-48c1-9bb5-c586c1062b70_SiteId">
    <vt:lpwstr>cf36141c-ddd7-45a7-b073-111f66d0b30c</vt:lpwstr>
  </property>
  <property fmtid="{D5CDD505-2E9C-101B-9397-08002B2CF9AE}" pid="4" name="MSIP_Label_236020b0-6d69-48c1-9bb5-c586c1062b70_Owner">
    <vt:lpwstr>gil.raviv@avanade.com</vt:lpwstr>
  </property>
  <property fmtid="{D5CDD505-2E9C-101B-9397-08002B2CF9AE}" pid="5" name="MSIP_Label_236020b0-6d69-48c1-9bb5-c586c1062b70_SetDate">
    <vt:lpwstr>2019-01-05T23:42:10.7355369Z</vt:lpwstr>
  </property>
  <property fmtid="{D5CDD505-2E9C-101B-9397-08002B2CF9AE}" pid="6" name="MSIP_Label_236020b0-6d69-48c1-9bb5-c586c1062b70_Name">
    <vt:lpwstr>Confidential</vt:lpwstr>
  </property>
  <property fmtid="{D5CDD505-2E9C-101B-9397-08002B2CF9AE}" pid="7" name="MSIP_Label_236020b0-6d69-48c1-9bb5-c586c1062b70_Application">
    <vt:lpwstr>Microsoft Azure Information Protection</vt:lpwstr>
  </property>
  <property fmtid="{D5CDD505-2E9C-101B-9397-08002B2CF9AE}" pid="8" name="MSIP_Label_236020b0-6d69-48c1-9bb5-c586c1062b70_Extended_MSFT_Method">
    <vt:lpwstr>Automatic</vt:lpwstr>
  </property>
  <property fmtid="{D5CDD505-2E9C-101B-9397-08002B2CF9AE}" pid="9" name="MSIP_Label_5fae8262-b78e-4366-8929-a5d6aac95320_Enabled">
    <vt:lpwstr>True</vt:lpwstr>
  </property>
  <property fmtid="{D5CDD505-2E9C-101B-9397-08002B2CF9AE}" pid="10" name="MSIP_Label_5fae8262-b78e-4366-8929-a5d6aac95320_SiteId">
    <vt:lpwstr>cf36141c-ddd7-45a7-b073-111f66d0b30c</vt:lpwstr>
  </property>
  <property fmtid="{D5CDD505-2E9C-101B-9397-08002B2CF9AE}" pid="11" name="MSIP_Label_5fae8262-b78e-4366-8929-a5d6aac95320_Owner">
    <vt:lpwstr>gil.raviv@avanade.com</vt:lpwstr>
  </property>
  <property fmtid="{D5CDD505-2E9C-101B-9397-08002B2CF9AE}" pid="12" name="MSIP_Label_5fae8262-b78e-4366-8929-a5d6aac95320_SetDate">
    <vt:lpwstr>2019-01-05T23:42:10.7355369Z</vt:lpwstr>
  </property>
  <property fmtid="{D5CDD505-2E9C-101B-9397-08002B2CF9AE}" pid="13" name="MSIP_Label_5fae8262-b78e-4366-8929-a5d6aac95320_Name">
    <vt:lpwstr>Recipients Have Full Control</vt:lpwstr>
  </property>
  <property fmtid="{D5CDD505-2E9C-101B-9397-08002B2CF9AE}" pid="14" name="MSIP_Label_5fae8262-b78e-4366-8929-a5d6aac95320_Application">
    <vt:lpwstr>Microsoft Azure Information Protection</vt:lpwstr>
  </property>
  <property fmtid="{D5CDD505-2E9C-101B-9397-08002B2CF9AE}" pid="15" name="MSIP_Label_5fae8262-b78e-4366-8929-a5d6aac95320_Parent">
    <vt:lpwstr>236020b0-6d69-48c1-9bb5-c586c1062b70</vt:lpwstr>
  </property>
  <property fmtid="{D5CDD505-2E9C-101B-9397-08002B2CF9AE}" pid="16" name="MSIP_Label_5fae8262-b78e-4366-8929-a5d6aac95320_Extended_MSFT_Method">
    <vt:lpwstr>Automatic</vt:lpwstr>
  </property>
  <property fmtid="{D5CDD505-2E9C-101B-9397-08002B2CF9AE}" pid="17" name="ContentTypeId">
    <vt:lpwstr>0x01010038B3006FD390394DBC666790831B44FD</vt:lpwstr>
  </property>
  <property fmtid="{D5CDD505-2E9C-101B-9397-08002B2CF9AE}" pid="18" name="MSIP_Label_8ebd84e5-2588-4ac6-b253-709f07f1bcd9_Enabled">
    <vt:lpwstr>true</vt:lpwstr>
  </property>
  <property fmtid="{D5CDD505-2E9C-101B-9397-08002B2CF9AE}" pid="19" name="MSIP_Label_8ebd84e5-2588-4ac6-b253-709f07f1bcd9_SetDate">
    <vt:lpwstr>2023-09-21T14:08:51Z</vt:lpwstr>
  </property>
  <property fmtid="{D5CDD505-2E9C-101B-9397-08002B2CF9AE}" pid="20" name="MSIP_Label_8ebd84e5-2588-4ac6-b253-709f07f1bcd9_Method">
    <vt:lpwstr>Standard</vt:lpwstr>
  </property>
  <property fmtid="{D5CDD505-2E9C-101B-9397-08002B2CF9AE}" pid="21" name="MSIP_Label_8ebd84e5-2588-4ac6-b253-709f07f1bcd9_Name">
    <vt:lpwstr>Public</vt:lpwstr>
  </property>
  <property fmtid="{D5CDD505-2E9C-101B-9397-08002B2CF9AE}" pid="22" name="MSIP_Label_8ebd84e5-2588-4ac6-b253-709f07f1bcd9_SiteId">
    <vt:lpwstr>2273c41b-b8d0-45af-bee6-e08496ae6718</vt:lpwstr>
  </property>
  <property fmtid="{D5CDD505-2E9C-101B-9397-08002B2CF9AE}" pid="23" name="MSIP_Label_8ebd84e5-2588-4ac6-b253-709f07f1bcd9_ActionId">
    <vt:lpwstr>76409769-3afa-4f1d-ab86-d4b7765c5bf9</vt:lpwstr>
  </property>
  <property fmtid="{D5CDD505-2E9C-101B-9397-08002B2CF9AE}" pid="24" name="MSIP_Label_8ebd84e5-2588-4ac6-b253-709f07f1bcd9_ContentBits">
    <vt:lpwstr>0</vt:lpwstr>
  </property>
</Properties>
</file>